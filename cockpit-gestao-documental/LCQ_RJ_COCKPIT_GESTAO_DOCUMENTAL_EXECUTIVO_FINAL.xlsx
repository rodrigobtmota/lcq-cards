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_rels/drawing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tables/table5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1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DASHBOARD EXECUTIVO" sheetId="2" state="visible" r:id="rId4"/>
    <sheet name="PESQUISA" sheetId="3" state="visible" r:id="rId5"/>
    <sheet name="BASE CONSOLIDADA" sheetId="4" state="visible" r:id="rId6"/>
    <sheet name="QUALIDADE BASE" sheetId="5" state="visible" r:id="rId7"/>
    <sheet name="NDocs Q4" sheetId="6" state="visible" r:id="rId8"/>
    <sheet name="NDocs PE_PP" sheetId="7" state="visible" r:id="rId9"/>
    <sheet name="NDocs AOL" sheetId="8" state="visible" r:id="rId10"/>
    <sheet name="NDocs COMUNS" sheetId="9" state="visible" r:id="rId11"/>
    <sheet name="OUTROS CONTROLES" sheetId="10" state="visible" r:id="rId12"/>
    <sheet name="NDocs FMG e ANX" sheetId="11" state="visible" r:id="rId13"/>
    <sheet name="Documentos Transversais" sheetId="12" state="visible" r:id="rId14"/>
    <sheet name="LPP" sheetId="13" state="visible" r:id="rId15"/>
    <sheet name="AST AOL" sheetId="14" state="visible" r:id="rId16"/>
    <sheet name="AST Geral" sheetId="15" state="visible" r:id="rId17"/>
    <sheet name="RT's" sheetId="16" state="visible" r:id="rId18"/>
    <sheet name="MO" sheetId="17" state="visible" r:id="rId19"/>
    <sheet name="NDocs" sheetId="18" state="visible" r:id="rId20"/>
    <sheet name="NDocs (2)" sheetId="19" state="visible" r:id="rId21"/>
    <sheet name="NDocs Salvação" sheetId="20" state="visible" r:id="rId22"/>
    <sheet name="_AUX DASH" sheetId="21" state="visible" r:id="rId23"/>
  </sheets>
  <definedNames>
    <definedName function="false" hidden="true" localSheetId="3" name="_xlnm._FilterDatabase" vbProcedure="false">'BASE CONSOLIDADA'!$A$4:$Z$129</definedName>
    <definedName function="false" hidden="false" localSheetId="1" name="_xlnm.Print_Area" vbProcedure="false">'DASHBOARD EXECUTIVO'!$A$1:$Z$48</definedName>
    <definedName function="false" hidden="true" localSheetId="19" name="_xlnm._FilterDatabase" vbProcedure="false">'NDocs Salvação'!$A$2:$L$180</definedName>
    <definedName function="false" hidden="true" localSheetId="4" name="_xlnm._FilterDatabase" vbProcedure="false">'QUALIDADE BASE'!$B$26:$H$51</definedName>
    <definedName function="false" hidden="false" name="DataRef" vbProcedure="false">'_AUX DASH'!$B$3</definedName>
    <definedName function="false" hidden="false" name="fArea" vbProcedure="false">'DASHBOARD EXECUTIVO'!$B$7</definedName>
    <definedName function="false" hidden="false" name="fHor" vbProcedure="false">'DASHBOARD EXECUTIVO'!$S$7</definedName>
    <definedName function="false" hidden="false" name="fResp" vbProcedure="false">'DASHBOARD EXECUTIVO'!$N$7</definedName>
    <definedName function="false" hidden="false" name="fSit" vbProcedure="false">'DASHBOARD EXECUTIVO'!$J$7</definedName>
    <definedName function="false" hidden="false" name="fStatus" vbProcedure="false">'DASHBOARD EXECUTIVO'!$F$7</definedName>
    <definedName function="false" hidden="false" name="qBusca" vbProcedure="false">PESQUISA!$D$6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AMARELO: 12 meses para o vencimento;
VERMELHO: 3 meses para o vencimento.</t>
        </r>
      </text>
    </comment>
  </commentList>
</comments>
</file>

<file path=xl/sharedStrings.xml><?xml version="1.0" encoding="utf-8"?>
<sst xmlns="http://schemas.openxmlformats.org/spreadsheetml/2006/main" count="7941" uniqueCount="1799">
  <si>
    <t xml:space="preserve">GESTÃO DOCUMENTAL — LCQ RJ</t>
  </si>
  <si>
    <t xml:space="preserve">DATA DE REFERÊNCIA</t>
  </si>
  <si>
    <t xml:space="preserve">Cockpit Executivo de Instruções  ·  Fonte: NDocs Rev.28</t>
  </si>
  <si>
    <t xml:space="preserve">Bem-vindo! Escolha abaixo o que você precisa fazer — cada cartão abre a aba certa.</t>
  </si>
  <si>
    <t xml:space="preserve">SITUAÇÃO HOJE  ·  carteira completa de instruções</t>
  </si>
  <si>
    <t xml:space="preserve">INSTRUÇÕES</t>
  </si>
  <si>
    <t xml:space="preserve">APROVADAS</t>
  </si>
  <si>
    <t xml:space="preserve">AÇÃO IMEDIATA</t>
  </si>
  <si>
    <t xml:space="preserve">VENCEM EM 12 MESES</t>
  </si>
  <si>
    <t xml:space="preserve">SAÚDE DOCUMENTAL</t>
  </si>
  <si>
    <t xml:space="preserve">O QUE VOCÊ QUER FAZER?</t>
  </si>
  <si>
    <t xml:space="preserve">▦</t>
  </si>
  <si>
    <t xml:space="preserve">⚑</t>
  </si>
  <si>
    <t xml:space="preserve">⌕</t>
  </si>
  <si>
    <t xml:space="preserve">Ver o panorama geral</t>
  </si>
  <si>
    <t xml:space="preserve">Ver o que precisa de ação</t>
  </si>
  <si>
    <t xml:space="preserve">Encontrar um documento</t>
  </si>
  <si>
    <t xml:space="preserve">Indicadores, riscos, agenda de vencimentos e carteira por área e responsável</t>
  </si>
  <si>
    <t xml:space="preserve">Lista curta, priorizada, com a ação recomendada para cada documento</t>
  </si>
  <si>
    <t xml:space="preserve">Busque por código NDocs, número antigo (IT …) ou palavra do título</t>
  </si>
  <si>
    <t xml:space="preserve">Abrir Dashboard  ▸</t>
  </si>
  <si>
    <t xml:space="preserve">Ver ações  ▸</t>
  </si>
  <si>
    <t xml:space="preserve">Pesquisar  ▸</t>
  </si>
  <si>
    <t xml:space="preserve">☰</t>
  </si>
  <si>
    <t xml:space="preserve">✓</t>
  </si>
  <si>
    <t xml:space="preserve">▤</t>
  </si>
  <si>
    <t xml:space="preserve">Consultar a base completa</t>
  </si>
  <si>
    <t xml:space="preserve">Conferir a qualidade dos dados</t>
  </si>
  <si>
    <t xml:space="preserve">Outros controles documentais</t>
  </si>
  <si>
    <t xml:space="preserve">Uma linha por código NDocs, com origem rastreável e situação gerencial</t>
  </si>
  <si>
    <t xml:space="preserve">Duplicidades, divergências, campos vazios, erros legados e regras de cálculo</t>
  </si>
  <si>
    <t xml:space="preserve">FMG/ANX, Transversais, LPP, AST, RT e MO — fora dos KPIs de instruções</t>
  </si>
  <si>
    <t xml:space="preserve">Abrir Base  ▸</t>
  </si>
  <si>
    <t xml:space="preserve">Abrir Qualidade  ▸</t>
  </si>
  <si>
    <t xml:space="preserve">Abrir Outros  ▸</t>
  </si>
  <si>
    <t xml:space="preserve">INSTRUÇÕES POR ÁREA  ·  abas de origem do NDocs</t>
  </si>
  <si>
    <t xml:space="preserve">Q4</t>
  </si>
  <si>
    <t xml:space="preserve">PE / PP</t>
  </si>
  <si>
    <t xml:space="preserve">AOL</t>
  </si>
  <si>
    <t xml:space="preserve">Comuns</t>
  </si>
  <si>
    <t xml:space="preserve">Área Q4 · inclui compartilhadas</t>
  </si>
  <si>
    <t xml:space="preserve">PE, PP e PE/PP</t>
  </si>
  <si>
    <t xml:space="preserve">Analisadores em linha · inclui Q4/AOL</t>
  </si>
  <si>
    <t xml:space="preserve">Comuns ao LCQ</t>
  </si>
  <si>
    <t xml:space="preserve">Abrir aba  ▸</t>
  </si>
  <si>
    <t xml:space="preserve">COMO USAR  ·  3 passos</t>
  </si>
  <si>
    <t xml:space="preserve">1</t>
  </si>
  <si>
    <t xml:space="preserve">Abra o Dashboard</t>
  </si>
  <si>
    <t xml:space="preserve">2</t>
  </si>
  <si>
    <t xml:space="preserve">Filtre o que importa</t>
  </si>
  <si>
    <t xml:space="preserve">3</t>
  </si>
  <si>
    <t xml:space="preserve">Aprofunde</t>
  </si>
  <si>
    <t xml:space="preserve">Veja os números do dia e o painel "Ação necessária agora".</t>
  </si>
  <si>
    <t xml:space="preserve">Use as listas suspensas (Área, Situação, Responsável…). Volte a "Todas" para limpar.</t>
  </si>
  <si>
    <t xml:space="preserve">Use a Pesquisa ou a Base Consolidada para ver o detalhe de cada documento.</t>
  </si>
  <si>
    <t xml:space="preserve">LEGENDA DE CORES</t>
  </si>
  <si>
    <t xml:space="preserve">● Vermelho — agir agora</t>
  </si>
  <si>
    <t xml:space="preserve">● Âmbar — atenção</t>
  </si>
  <si>
    <t xml:space="preserve">● Verde — regular</t>
  </si>
  <si>
    <t xml:space="preserve">● Cinza — inativo</t>
  </si>
  <si>
    <t xml:space="preserve">Histórico (versões anteriores, não usadas nos KPIs): abas NDocs, NDocs (2) e NDocs Salvação  ▸</t>
  </si>
  <si>
    <t xml:space="preserve">FONTE</t>
  </si>
  <si>
    <t xml:space="preserve">Cockpit Executivo de Instruções</t>
  </si>
  <si>
    <t xml:space="preserve">NDocs Rev.28</t>
  </si>
  <si>
    <t xml:space="preserve">⌂  Início</t>
  </si>
  <si>
    <t xml:space="preserve">▦  Dashboard</t>
  </si>
  <si>
    <t xml:space="preserve">⌕  Pesquisa</t>
  </si>
  <si>
    <t xml:space="preserve">☰  Base</t>
  </si>
  <si>
    <t xml:space="preserve">✓  Qualidade</t>
  </si>
  <si>
    <t xml:space="preserve">▤  Outros</t>
  </si>
  <si>
    <t xml:space="preserve">Os filtros abaixo afetam todos os blocos</t>
  </si>
  <si>
    <t xml:space="preserve">ÁREA</t>
  </si>
  <si>
    <t xml:space="preserve">STATUS NDOCS</t>
  </si>
  <si>
    <t xml:space="preserve">SITUAÇÃO GERENCIAL</t>
  </si>
  <si>
    <t xml:space="preserve">RESPONSÁVEL</t>
  </si>
  <si>
    <t xml:space="preserve">HORIZONTE DE VALIDADE</t>
  </si>
  <si>
    <t xml:space="preserve">↺ Para limpar, volte
cada filtro a "Todas/Todos"</t>
  </si>
  <si>
    <t xml:space="preserve">Todas</t>
  </si>
  <si>
    <t xml:space="preserve">Todos</t>
  </si>
  <si>
    <t xml:space="preserve">INSTRUÇÕES ÚNICAS</t>
  </si>
  <si>
    <t xml:space="preserve">EM PROCESSO</t>
  </si>
  <si>
    <t xml:space="preserve">⚑  AÇÃO NECESSÁRIA AGORA</t>
  </si>
  <si>
    <t xml:space="preserve">◷  AGENDA DE VENCIMENTOS — 12 MESES</t>
  </si>
  <si>
    <t xml:space="preserve">Somente o que exige tratamento. Ordem: 1 vencida ativa · 2 não encontrada · 3 revisão · 4 elaboração · 5 vence ≤ 90 dias · 6 validar cadastro</t>
  </si>
  <si>
    <t xml:space="preserve">Aprovadas que vencem por mês · barra escura = mês de concentração</t>
  </si>
  <si>
    <t xml:space="preserve">P</t>
  </si>
  <si>
    <t xml:space="preserve">Código</t>
  </si>
  <si>
    <t xml:space="preserve">Título</t>
  </si>
  <si>
    <t xml:space="preserve">Área</t>
  </si>
  <si>
    <t xml:space="preserve">Situação</t>
  </si>
  <si>
    <t xml:space="preserve">Responsável</t>
  </si>
  <si>
    <t xml:space="preserve">Ação recomendada</t>
  </si>
  <si>
    <t xml:space="preserve">▤  CARTEIRA POR ÁREA</t>
  </si>
  <si>
    <t xml:space="preserve">▦  MATRIZ ÁREA × SITUAÇÃO</t>
  </si>
  <si>
    <t xml:space="preserve">◉  CARTEIRA POR RESPONSÁVEL</t>
  </si>
  <si>
    <t xml:space="preserve">Código único · compartilhados em categoria própria</t>
  </si>
  <si>
    <t xml:space="preserve">Onde está concentrado o risco</t>
  </si>
  <si>
    <t xml:space="preserve">Para acompanhamento — não é ranking de desempenho</t>
  </si>
  <si>
    <t xml:space="preserve">Ação imed.</t>
  </si>
  <si>
    <t xml:space="preserve">Validar</t>
  </si>
  <si>
    <t xml:space="preserve">Em trat.</t>
  </si>
  <si>
    <t xml:space="preserve">Planejar</t>
  </si>
  <si>
    <t xml:space="preserve">Regular</t>
  </si>
  <si>
    <t xml:space="preserve">Inativo</t>
  </si>
  <si>
    <t xml:space="preserve">Total</t>
  </si>
  <si>
    <t xml:space="preserve">Ação/ valid.</t>
  </si>
  <si>
    <t xml:space="preserve">12 m</t>
  </si>
  <si>
    <t xml:space="preserve">PE</t>
  </si>
  <si>
    <t xml:space="preserve">COMUM</t>
  </si>
  <si>
    <t xml:space="preserve">PP</t>
  </si>
  <si>
    <t xml:space="preserve">PE/PP</t>
  </si>
  <si>
    <t xml:space="preserve">Q4/AOL</t>
  </si>
  <si>
    <t xml:space="preserve">▣  OUTROS CONTROLES DOCUMENTAIS  ·  não somados aos KPIs de instruções</t>
  </si>
  <si>
    <t xml:space="preserve">NDocs FMG e ANX</t>
  </si>
  <si>
    <t xml:space="preserve">Documentos Transversais</t>
  </si>
  <si>
    <t xml:space="preserve">LPP</t>
  </si>
  <si>
    <t xml:space="preserve">AST AOL</t>
  </si>
  <si>
    <t xml:space="preserve">AST Geral</t>
  </si>
  <si>
    <t xml:space="preserve">RT's</t>
  </si>
  <si>
    <t xml:space="preserve">MO</t>
  </si>
  <si>
    <t xml:space="preserve">Saúde documental = (Regular + Planejar revisão) ÷ instruções ativas. Ativas = todas, exceto Canceladas e Fora de Uso. Mede "quantas instruções em uso estão aprovadas e dentro da validade".</t>
  </si>
  <si>
    <t xml:space="preserve">Situação Gerencial é camada analítica: o Status oficial do NDocs é preservado na Base Consolidada (coluna E). Regras completas em QUALIDADE BASE › Regras.</t>
  </si>
  <si>
    <t xml:space="preserve">Contagem por Código NDocs único (125 códigos de 131 linhas de instrução). Documento compartilhado entre áreas conta uma vez; o filtro de Área inclui os compartilhados (ex.: Q4 inclui Q4/AOL).</t>
  </si>
  <si>
    <t xml:space="preserve">⌕  PESQUISA DE DOCUMENTO</t>
  </si>
  <si>
    <t xml:space="preserve">Localize por Código NDocs, número antigo (IT …) ou parte do título — sem diferenciar maiúsculas</t>
  </si>
  <si>
    <t xml:space="preserve">DIGITE NA CAIXA ABAIXO E TECLE ENTER</t>
  </si>
  <si>
    <t xml:space="preserve">🔍</t>
  </si>
  <si>
    <t xml:space="preserve">Termo:</t>
  </si>
  <si>
    <t xml:space="preserve">OXIGÊNIO</t>
  </si>
  <si>
    <t xml:space="preserve">#</t>
  </si>
  <si>
    <t xml:space="preserve">Código NDocs</t>
  </si>
  <si>
    <t xml:space="preserve">Antigo nº</t>
  </si>
  <si>
    <t xml:space="preserve">Versão</t>
  </si>
  <si>
    <t xml:space="preserve">Status NDocs</t>
  </si>
  <si>
    <t xml:space="preserve">Validade</t>
  </si>
  <si>
    <t xml:space="preserve">Situação Gerencial</t>
  </si>
  <si>
    <t xml:space="preserve">Dica: digite só o número (ex.: 016238 ou 5020-00217) ou uma palavra do título. Apague o termo para limpar. Detalhes completos na Base Consolidada.</t>
  </si>
  <si>
    <t xml:space="preserve">BASE CONSOLIDADA DE INSTRUÇÕES</t>
  </si>
  <si>
    <t xml:space="preserve">▌ DADO ORIGINAL NDocs — copiado da aba indicada em "Origem", sem edição</t>
  </si>
  <si>
    <t xml:space="preserve">▌ CAMADA ANALÍTICA — fórmulas, não editar</t>
  </si>
  <si>
    <t xml:space="preserve">Antigo Número</t>
  </si>
  <si>
    <t xml:space="preserve">Área consolidada</t>
  </si>
  <si>
    <t xml:space="preserve">Abrangência</t>
  </si>
  <si>
    <t xml:space="preserve">Norma</t>
  </si>
  <si>
    <t xml:space="preserve">Comentários</t>
  </si>
  <si>
    <t xml:space="preserve">Origem (aba!linha)</t>
  </si>
  <si>
    <t xml:space="preserve">Qtd. registros origem</t>
  </si>
  <si>
    <t xml:space="preserve">Status padronizado</t>
  </si>
  <si>
    <t xml:space="preserve">Validade (analítica)</t>
  </si>
  <si>
    <t xml:space="preserve">Responsável padronizado</t>
  </si>
  <si>
    <t xml:space="preserve">Dias p/ vencer</t>
  </si>
  <si>
    <t xml:space="preserve">Horizonte de validade</t>
  </si>
  <si>
    <t xml:space="preserve">Mês de vencimento</t>
  </si>
  <si>
    <t xml:space="preserve">Prioridade</t>
  </si>
  <si>
    <t xml:space="preserve">Filtro dashboard</t>
  </si>
  <si>
    <t xml:space="preserve">Score ação</t>
  </si>
  <si>
    <t xml:space="preserve">Chave de busca</t>
  </si>
  <si>
    <t xml:space="preserve">Busca (linha)</t>
  </si>
  <si>
    <t xml:space="preserve">BRK-INS-01-010015-PT</t>
  </si>
  <si>
    <t xml:space="preserve">7.0</t>
  </si>
  <si>
    <t xml:space="preserve">IT 5020-00217</t>
  </si>
  <si>
    <t xml:space="preserve">DETERMINAÇÃO DA CONCENTRAÇÃO DE SULFETO</t>
  </si>
  <si>
    <t xml:space="preserve">Aprovado</t>
  </si>
  <si>
    <t xml:space="preserve">Ana CARLA DA CRUZ ARAUJO</t>
  </si>
  <si>
    <t xml:space="preserve">UOP 163 - HYDROGEN SULFIDE AND MERCAPTAN SULFUR IN LIQUID HYDROCARBONS BY POTENTIOMETRIC TITRATION</t>
  </si>
  <si>
    <t xml:space="preserve">NDocs Q4!3</t>
  </si>
  <si>
    <t xml:space="preserve">BRK-INS-01-010021-PT</t>
  </si>
  <si>
    <t xml:space="preserve">IT 5020-00219</t>
  </si>
  <si>
    <t xml:space="preserve">DETERMINAÇÃO DA TURBIDEZ</t>
  </si>
  <si>
    <t xml:space="preserve">LARISSA VICENTE CARDOSO GUEDES</t>
  </si>
  <si>
    <t xml:space="preserve">NDocs Q4!4</t>
  </si>
  <si>
    <t xml:space="preserve">BRK-INS-01-010028-PT</t>
  </si>
  <si>
    <t xml:space="preserve">IT 5020-00220</t>
  </si>
  <si>
    <t xml:space="preserve">DETERMINAÇÃO DA CONCENTRAÇÃO DE CLORO RESIDUAL LIVRE</t>
  </si>
  <si>
    <t xml:space="preserve">NDocs Q4!5</t>
  </si>
  <si>
    <t xml:space="preserve">BRK-INS-01-010035-PT</t>
  </si>
  <si>
    <t xml:space="preserve">6.0</t>
  </si>
  <si>
    <t xml:space="preserve">IT 5020-00221</t>
  </si>
  <si>
    <t xml:space="preserve">DETERMINAÇÃO DA CONCENTRAÇÃO DE NAOH E NA2CO3</t>
  </si>
  <si>
    <t xml:space="preserve">ASTM D5580; ABNT NBR 8140 - SODA CÁUSTICA LÍQUIDA - DETERMINAÇÃO DA ALCALINIDADE TOTAL - MÉTODO POTENCIOMÉTRICO/VOLUMÉTRICO</t>
  </si>
  <si>
    <t xml:space="preserve">NDocs Q4!6</t>
  </si>
  <si>
    <t xml:space="preserve">BRK-INS-01-010039-PT</t>
  </si>
  <si>
    <t xml:space="preserve">IT 5020-00222</t>
  </si>
  <si>
    <t xml:space="preserve">DETERMINAÇÃO DA TEMPERATURA</t>
  </si>
  <si>
    <t xml:space="preserve">NDocs Q4!7</t>
  </si>
  <si>
    <t xml:space="preserve">BRK-INS-01-010051-PT</t>
  </si>
  <si>
    <t xml:space="preserve">IT 5020-00225</t>
  </si>
  <si>
    <t xml:space="preserve">DETERMINAÇÃO DO PH</t>
  </si>
  <si>
    <t xml:space="preserve">ASTM D1293</t>
  </si>
  <si>
    <t xml:space="preserve">NDocs Q4!8</t>
  </si>
  <si>
    <t xml:space="preserve">BRK-INS-01-010064-PT</t>
  </si>
  <si>
    <t xml:space="preserve">8.0</t>
  </si>
  <si>
    <t xml:space="preserve">IT 5020-00228</t>
  </si>
  <si>
    <t xml:space="preserve">PREPARO DE PADRÕES E SOLUÇÕES DO LCQ DCX - Q4, PE9 E PP5.</t>
  </si>
  <si>
    <t xml:space="preserve">NDocs Q4!9</t>
  </si>
  <si>
    <t xml:space="preserve">BRK-INS-01-010069-PT</t>
  </si>
  <si>
    <t xml:space="preserve">IT 5020-00229</t>
  </si>
  <si>
    <t xml:space="preserve">DETERMINAÇÃO DA CONCENTRAÇÃO DE SÍLICA EM ÁGUAS</t>
  </si>
  <si>
    <t xml:space="preserve">NDocs Q4!10</t>
  </si>
  <si>
    <t xml:space="preserve">BRK-INS-01-010073-PT</t>
  </si>
  <si>
    <t xml:space="preserve">IT 5020-00231</t>
  </si>
  <si>
    <t xml:space="preserve">DETERMINAÇÃO DA CONCENTRAÇÃO DE FÓSFORO TOTAL</t>
  </si>
  <si>
    <t xml:space="preserve">NDocs Q4!11</t>
  </si>
  <si>
    <t xml:space="preserve">BRK-INS-01-010078-PT</t>
  </si>
  <si>
    <t xml:space="preserve">IT 5020-00232</t>
  </si>
  <si>
    <t xml:space="preserve">DETERMINAÇÃO DA CONDUTIVIDADE EM ÁGUAS E EFLUENTES</t>
  </si>
  <si>
    <t xml:space="preserve">ASTM D1125</t>
  </si>
  <si>
    <t xml:space="preserve">NDocs Q4!12</t>
  </si>
  <si>
    <t xml:space="preserve">BRK-INS-01-010083-PT</t>
  </si>
  <si>
    <t xml:space="preserve">IT 5020-00233</t>
  </si>
  <si>
    <t xml:space="preserve">DENSIDADE DO GÁS LIQUEFEITO DE PETRÓLEO POR DENSÍMETRO SOB PRESSÃO</t>
  </si>
  <si>
    <t xml:space="preserve">ASTM D1657 - STANDARD TEST METHOD FOR DENSITY OR RELATIVE DENSITY OF LIGHT HYDROCARBONS BY PRESSURE HYDROMETER; ASTM E100 - STANDARD SPECIFICATION FOR ASTM HYDROMETERS; ASTM D1250</t>
  </si>
  <si>
    <t xml:space="preserve">NDocs Q4!13</t>
  </si>
  <si>
    <t xml:space="preserve">BRK-INS-01-015113-PT</t>
  </si>
  <si>
    <t xml:space="preserve">IT 5020-02473</t>
  </si>
  <si>
    <t xml:space="preserve">DETERMINAÇÃO DA CONCENTRAÇÃO DE NITROGÊNIO TOTAL</t>
  </si>
  <si>
    <t xml:space="preserve">NDocs Q4!14</t>
  </si>
  <si>
    <t xml:space="preserve">BRK-INS-01-015318-PT</t>
  </si>
  <si>
    <t xml:space="preserve">IT 5020-02558</t>
  </si>
  <si>
    <t xml:space="preserve">DETERMINAÇÃO DE GASES INORGÂNICOS E HIDROCARBONETOS LEVES POR CROMATOGRAFIA EM FASE GASOSA</t>
  </si>
  <si>
    <t xml:space="preserve">NDocs Q4!15</t>
  </si>
  <si>
    <t xml:space="preserve">BRK-INS-01-015837-PT</t>
  </si>
  <si>
    <t xml:space="preserve">0.5</t>
  </si>
  <si>
    <t xml:space="preserve">IT 5020-02742</t>
  </si>
  <si>
    <t xml:space="preserve">DETERMINAÇÃO DE INORGÂNICOS POR CROMATOGRAFIA GASOSA</t>
  </si>
  <si>
    <t xml:space="preserve">Em Elaboração</t>
  </si>
  <si>
    <t xml:space="preserve">ISABEL TEIXEIRA MALVAR PINTO</t>
  </si>
  <si>
    <t xml:space="preserve">ASTM D2504</t>
  </si>
  <si>
    <t xml:space="preserve">NDocs Q4!16</t>
  </si>
  <si>
    <t xml:space="preserve">BRK-INS-01-016192-PT</t>
  </si>
  <si>
    <t xml:space="preserve">IT 5020-00164</t>
  </si>
  <si>
    <t xml:space="preserve">DETERMINAÇÃO DE GOMA POTENCIAL</t>
  </si>
  <si>
    <t xml:space="preserve">ASTM D873 - STANDARD TEST METHOD FOR OXIDATION STABILITY OF AVIATION FUELS (POTENTIAL RESIDUE METHOD).</t>
  </si>
  <si>
    <t xml:space="preserve">NDocs Q4!17</t>
  </si>
  <si>
    <t xml:space="preserve">BRK-INS-01-016201-PT</t>
  </si>
  <si>
    <t xml:space="preserve">9.0</t>
  </si>
  <si>
    <t xml:space="preserve">IT 5020-00166</t>
  </si>
  <si>
    <t xml:space="preserve">DETERMINAÇÃO DO PERÍODO DE INDUÇÃO</t>
  </si>
  <si>
    <t xml:space="preserve">ASTM D525 - STANDARD TEST METHOD FOR OXIDATION STABILITY OF GASOLINE (INDUCTION PERIOD METHOD).</t>
  </si>
  <si>
    <t xml:space="preserve">NDocs Q4!18</t>
  </si>
  <si>
    <t xml:space="preserve">BRK-INS-01-016208-PT</t>
  </si>
  <si>
    <t xml:space="preserve">IT 5020-00168</t>
  </si>
  <si>
    <t xml:space="preserve">DETERMINAÇÃO DE UMIDADE POR COULOMETRIA</t>
  </si>
  <si>
    <t xml:space="preserve">NDocs Q4!19</t>
  </si>
  <si>
    <t xml:space="preserve">BRK-INS-01-016220-PT</t>
  </si>
  <si>
    <t xml:space="preserve">IT 5020-00170</t>
  </si>
  <si>
    <t xml:space="preserve">DETERMINAÇÃO DA DENSIDADE ABSOLUTA E RELATIVA PELO DENSIMETRO DIGITAL</t>
  </si>
  <si>
    <t xml:space="preserve">ASTM D4052 - STANDARD TEST METHOD FOR DENSITY, RELATIVE DENSITY, AND API GRAVITY OF LIQUIDS BY DIGITAL DENSITY METER.</t>
  </si>
  <si>
    <t xml:space="preserve">NDocs Q4!20</t>
  </si>
  <si>
    <t xml:space="preserve">BRK-INS-01-016228-PT</t>
  </si>
  <si>
    <t xml:space="preserve">5.0</t>
  </si>
  <si>
    <t xml:space="preserve">IT 5020-00172</t>
  </si>
  <si>
    <t xml:space="preserve">DETERMINAÇÃO DE CARBONO ORGÂNICO TOTAL (TOC)</t>
  </si>
  <si>
    <t xml:space="preserve">Não encontrado</t>
  </si>
  <si>
    <t xml:space="preserve">NDocs Q4!21</t>
  </si>
  <si>
    <t xml:space="preserve">BRK-INS-01-016238-PT</t>
  </si>
  <si>
    <t xml:space="preserve">IT 5020-00175</t>
  </si>
  <si>
    <t xml:space="preserve">DETERMINAÇÃO DE OXIGÊNIO EM GASES POR TELEDYNE</t>
  </si>
  <si>
    <t xml:space="preserve">Ana Claudia Sergio De Oliveira </t>
  </si>
  <si>
    <t xml:space="preserve">NDocs Q4!22; NDocs AOL!23</t>
  </si>
  <si>
    <t xml:space="preserve">BRK-INS-01-016250-PT</t>
  </si>
  <si>
    <t xml:space="preserve">IT 5020-00178</t>
  </si>
  <si>
    <t xml:space="preserve">DETERMINAÇÃO DA COMPOSIÇÃO DA GASOLINA DE PIRÓLISE POR CROMATOGRAFIA EM FASE GASOSA</t>
  </si>
  <si>
    <t xml:space="preserve">NDocs Q4!23</t>
  </si>
  <si>
    <t xml:space="preserve">BRK-INS-01-016256-PT</t>
  </si>
  <si>
    <t xml:space="preserve">IT 5020-00179</t>
  </si>
  <si>
    <t xml:space="preserve">DETERMINAÇÃO DA COMPOSIÇÃO DE C4 PRODUTO POR CROMATOGRAFIA EM FASE GASOSA</t>
  </si>
  <si>
    <t xml:space="preserve">NDocs Q4!24</t>
  </si>
  <si>
    <t xml:space="preserve">BRK-INS-01-016263-PT</t>
  </si>
  <si>
    <t xml:space="preserve">IT 5020-00180</t>
  </si>
  <si>
    <t xml:space="preserve">DETERMINAÇÃO DA COMPOSIÇÃO DE C9 AROMÁTICO POR CROMATOGRAFIA EM FASE GASOSA</t>
  </si>
  <si>
    <t xml:space="preserve">NDocs Q4!25</t>
  </si>
  <si>
    <t xml:space="preserve">BRK-INS-01-016278-PT</t>
  </si>
  <si>
    <t xml:space="preserve">IT 5020-00186</t>
  </si>
  <si>
    <t xml:space="preserve">DETERMINAÇÃO DE HIDROCARBONETOS CONTAMINANTES EM PROPANO FRESCO POR CROMATOGRAFIA EM FASE GASOSA</t>
  </si>
  <si>
    <t xml:space="preserve">NDocs Q4!26</t>
  </si>
  <si>
    <t xml:space="preserve">BRK-INS-01-016287-PT</t>
  </si>
  <si>
    <t xml:space="preserve">IT 5020-00189</t>
  </si>
  <si>
    <t xml:space="preserve">DETERMINAÇÃO DE HIDROCARBONETOS RESIDUAIS E VOLÁTEIS EM RESINA DE POLIETILENO POR CROMATOGRAFIA EM FASE GASOSA</t>
  </si>
  <si>
    <t xml:space="preserve">ASTM D4526</t>
  </si>
  <si>
    <t xml:space="preserve">NDocs Q4!27</t>
  </si>
  <si>
    <t xml:space="preserve">BRK-INS-01-016288-PT</t>
  </si>
  <si>
    <t xml:space="preserve">IT 5030-00260</t>
  </si>
  <si>
    <t xml:space="preserve">CALIBRAÇÃO DE ANALISADOR DE UMIDADE PORTÁTIL PANAMETRICS</t>
  </si>
  <si>
    <t xml:space="preserve">Ana Claudia Sergio de Oliveira </t>
  </si>
  <si>
    <t xml:space="preserve">NDocs Q4!28; NDocs AOL!24</t>
  </si>
  <si>
    <t xml:space="preserve">BRK-INS-01-016295-PT</t>
  </si>
  <si>
    <t xml:space="preserve">IT 5020-00190</t>
  </si>
  <si>
    <t xml:space="preserve">DETERMINAÇÃO DE COMPOSTOS SULFURADOS EM AMOSTRAS LÍQUIDAS (ANTEK 9000NS)</t>
  </si>
  <si>
    <t xml:space="preserve">Cancelada</t>
  </si>
  <si>
    <t xml:space="preserve">ASTM D5453</t>
  </si>
  <si>
    <t xml:space="preserve">Cancelamento solicitado em 21/04/25. Substituída pela IT unidacado - BRK-INS-01-016214 </t>
  </si>
  <si>
    <t xml:space="preserve">NDocs Q4!29</t>
  </si>
  <si>
    <t xml:space="preserve">BRK-INS-01-016303-PT</t>
  </si>
  <si>
    <t xml:space="preserve">IT 5020-00194</t>
  </si>
  <si>
    <t xml:space="preserve">DETERMINAÇÃO DA COMPOSIÇÃO DO GÁS DE RECICLO DOS REATORES DAS LINHAS 1 E 2 POR CROMATOGRAFIA EM FASE GASOSA</t>
  </si>
  <si>
    <t xml:space="preserve">NDocs Q4!30</t>
  </si>
  <si>
    <t xml:space="preserve">BRK-INS-01-016309-PT</t>
  </si>
  <si>
    <t xml:space="preserve">IT 5020-00197</t>
  </si>
  <si>
    <t xml:space="preserve">DETERMINAÇÃO DE HIDROCARBONETOS CONTAMINANTES EM ETANO FRESCO POR CROMATOGRAFIA EM FASE GASOSA</t>
  </si>
  <si>
    <t xml:space="preserve">NDocs Q4!31</t>
  </si>
  <si>
    <t xml:space="preserve">BRK-INS-01-021119-PT</t>
  </si>
  <si>
    <t xml:space="preserve">1.0</t>
  </si>
  <si>
    <t xml:space="preserve">IT 5020-00198</t>
  </si>
  <si>
    <t xml:space="preserve">DETERMINAÇÃO DE OXIGENADOS EM GASES POR CROMATOGRAFIA EM FASE GASOSA</t>
  </si>
  <si>
    <t xml:space="preserve">NDocs Q4!32</t>
  </si>
  <si>
    <t xml:space="preserve">BRK-INS-01-016326-PT</t>
  </si>
  <si>
    <t xml:space="preserve">IT 5020-00200</t>
  </si>
  <si>
    <t xml:space="preserve">DETERMINAÇÃO DE HIDROCARBONETOS CONTAMINANTES EM ETENO PRODUTO POR CROMATOGRAFIA EM FASE GASOSA</t>
  </si>
  <si>
    <t xml:space="preserve">UNIFICADA</t>
  </si>
  <si>
    <t xml:space="preserve">FATIMA MOURA GUTERRES</t>
  </si>
  <si>
    <t xml:space="preserve">NDocs Q4!33</t>
  </si>
  <si>
    <t xml:space="preserve">BRK-INS-01-016334-PT</t>
  </si>
  <si>
    <t xml:space="preserve">IT 5020-00202</t>
  </si>
  <si>
    <t xml:space="preserve">DETERMINAÇÃO DE HIDROCARBONETOS CONTAMINANTES EM HIDROGÊNIO PRODUTO POR CROMATOGRAFIA EM FASE GASOSA</t>
  </si>
  <si>
    <t xml:space="preserve">NDocs Q4!34</t>
  </si>
  <si>
    <t xml:space="preserve">BRK-INS-01-016341-PT</t>
  </si>
  <si>
    <t xml:space="preserve">IT 5020-00203</t>
  </si>
  <si>
    <t xml:space="preserve">DETERMINAÇÃO DE HIDROCARBONETOS EM GASES POR CROMATOGRAFIA EM FASE GASOSA CALCULADOS POR NORMALIZAÇÃO</t>
  </si>
  <si>
    <t xml:space="preserve">NDocs Q4!35</t>
  </si>
  <si>
    <t xml:space="preserve">BRK-INS-01-016346-PT</t>
  </si>
  <si>
    <t xml:space="preserve">IT 5020-00207</t>
  </si>
  <si>
    <t xml:space="preserve">DETERMINAÇÃO DA CONCENTRAÇÃO DE SODA CÁUSTICA POR VOLUMETRIA</t>
  </si>
  <si>
    <t xml:space="preserve">ABNT NBR 8140 - SODA CÁUSTICA LÍQUIDA - DETERMINAÇÃO DA ALCALINIDADE TOTAL - MÉTODO POTENCIOMÉTRICO/VOLUMÉTRICO</t>
  </si>
  <si>
    <t xml:space="preserve">NDocs Q4!36</t>
  </si>
  <si>
    <t xml:space="preserve">BRK-INS-01-016354-PT</t>
  </si>
  <si>
    <t xml:space="preserve">IT 5020-00208</t>
  </si>
  <si>
    <t xml:space="preserve">DETERMINAÇÃO DA CONCENTRAÇÃO DE SÓLIDOS OU RESÍDUOS NÃO FILTRÁVEIS TOTAIS (RNFT)</t>
  </si>
  <si>
    <t xml:space="preserve">NDocs Q4!37</t>
  </si>
  <si>
    <t xml:space="preserve">BRK-INS-01-016362-PT</t>
  </si>
  <si>
    <t xml:space="preserve">IT 5020-00209</t>
  </si>
  <si>
    <t xml:space="preserve">DETERMINAÇÃO DA CONCENTRAÇÃO DE SÓLIDOS SEDIMENTÁVEIS</t>
  </si>
  <si>
    <t xml:space="preserve">NDocs Q4!38</t>
  </si>
  <si>
    <t xml:space="preserve">BRK-INS-01-016375-PT</t>
  </si>
  <si>
    <t xml:space="preserve">IT 5020-00210</t>
  </si>
  <si>
    <t xml:space="preserve">DETERMINAÇÃO DE ALCALINIDADE EM ÁGUAS</t>
  </si>
  <si>
    <t xml:space="preserve">NDocs Q4!39</t>
  </si>
  <si>
    <t xml:space="preserve">BRK-INS-01-016387-PT</t>
  </si>
  <si>
    <t xml:space="preserve">IT 5020-00212</t>
  </si>
  <si>
    <t xml:space="preserve">DETERMINAÇÃO DA CONCENTRAÇÃO DE FENÓIS</t>
  </si>
  <si>
    <t xml:space="preserve">NDocs Q4!40</t>
  </si>
  <si>
    <t xml:space="preserve">BRK-INS-01-016400-PT</t>
  </si>
  <si>
    <t xml:space="preserve">IT 5020-00213</t>
  </si>
  <si>
    <t xml:space="preserve">DETERMINAÇÃO DA COR</t>
  </si>
  <si>
    <t xml:space="preserve">NDocs Q4!41</t>
  </si>
  <si>
    <t xml:space="preserve">BRK-INS-01-016413-PT</t>
  </si>
  <si>
    <t xml:space="preserve">IT 5020-00215</t>
  </si>
  <si>
    <t xml:space="preserve">DETERMINAÇÃO DA CONCENTRAÇÃO DE ORTOFOSFATO</t>
  </si>
  <si>
    <t xml:space="preserve">NDocs Q4!42</t>
  </si>
  <si>
    <t xml:space="preserve">BRK-INS-01-016427-PT</t>
  </si>
  <si>
    <t xml:space="preserve">IT 5020-00216</t>
  </si>
  <si>
    <t xml:space="preserve">DETERMINAÇÃO DA DEMANDA QUÍMICA DE OXIGÊNIO EM ÁGUAS E EFLUENTES</t>
  </si>
  <si>
    <r>
      <rPr>
        <sz val="9"/>
        <color rgb="FF1F2937"/>
        <rFont val="Segoe UI"/>
        <family val="0"/>
        <charset val="1"/>
      </rPr>
      <t xml:space="preserve">SM 5220 D - STANDARD METHODS EXAMINATION OF WATER </t>
    </r>
    <r>
      <rPr>
        <sz val="9"/>
        <color rgb="FF1F2937"/>
        <rFont val="WenQuanYi Zen Hei"/>
        <family val="2"/>
      </rPr>
      <t xml:space="preserve">＆ </t>
    </r>
    <r>
      <rPr>
        <sz val="9"/>
        <color rgb="FF1F2937"/>
        <rFont val="Segoe UI"/>
        <family val="0"/>
        <charset val="1"/>
      </rPr>
      <t xml:space="preserve">WASTEWATER: CHEMICAL OXYGEN DEMAND (COD)</t>
    </r>
  </si>
  <si>
    <t xml:space="preserve">NDocs Q4!43</t>
  </si>
  <si>
    <t xml:space="preserve">BRK-INS-01-016793-PT</t>
  </si>
  <si>
    <t xml:space="preserve">IT 6010-00078</t>
  </si>
  <si>
    <t xml:space="preserve">DETERMINAÇÃO DE OXIGÊNIO EM GASES POR TELEDYNE MOD 3010</t>
  </si>
  <si>
    <t xml:space="preserve">NDocs Q4!44; NDocs AOL!15</t>
  </si>
  <si>
    <t xml:space="preserve">BRK-INS-01-018898-PT</t>
  </si>
  <si>
    <t xml:space="preserve">IT 5020-00211</t>
  </si>
  <si>
    <t xml:space="preserve">DETERMINAÇÃO DE ÓLEOS E GRAXAS</t>
  </si>
  <si>
    <t xml:space="preserve">Revisão</t>
  </si>
  <si>
    <t xml:space="preserve">NBR 14063 - ÓLEOS E GRAXAS - PROCESSOS DE TRATAMENTO EM EFLUENTES DE MINERAÇÃO.</t>
  </si>
  <si>
    <t xml:space="preserve">NDocs Q4!45</t>
  </si>
  <si>
    <t xml:space="preserve">BRK-INS-01-021077-PT</t>
  </si>
  <si>
    <t xml:space="preserve">-</t>
  </si>
  <si>
    <t xml:space="preserve">DETERMINAÇÃO DE SOLÚVEIS TOTAIS EM XILENO POR VIA ÚMIDA</t>
  </si>
  <si>
    <t xml:space="preserve">ASTM 5492-10 - Standard Test Method for Determination of Xylene Solubles in Propylene Plastics.</t>
  </si>
  <si>
    <t xml:space="preserve">NDocs Q4!46</t>
  </si>
  <si>
    <t xml:space="preserve">BRK-INS-01-018900-PT</t>
  </si>
  <si>
    <t xml:space="preserve">IT 5020-00218</t>
  </si>
  <si>
    <t xml:space="preserve">DETERMINAÇÃO DA COR REAL OU APARENTE</t>
  </si>
  <si>
    <t xml:space="preserve">NDocs Q4!47</t>
  </si>
  <si>
    <t xml:space="preserve">BRK-INS-01-021191-PT</t>
  </si>
  <si>
    <t xml:space="preserve"> ANÁLISE DE TOXICIDADE AGUDA EM EFLUENTES INDUSTRIAIS - ECOTOXICIDADE DCX</t>
  </si>
  <si>
    <t xml:space="preserve">NDocs Q4!48</t>
  </si>
  <si>
    <t xml:space="preserve">BRK-INS-01-014036-PT</t>
  </si>
  <si>
    <t xml:space="preserve">IT 5020-02043</t>
  </si>
  <si>
    <t xml:space="preserve">DETERMINAÇÃO DE GOMA EM GASOLINAS E SOLVENTES</t>
  </si>
  <si>
    <t xml:space="preserve">Tainara Starssbuger</t>
  </si>
  <si>
    <t xml:space="preserve">ASTM D381 - STANDARD TEST METHOD FOR GUM CONTENT IN FUELS BY JET EVAPORATION.</t>
  </si>
  <si>
    <t xml:space="preserve">NDocs Q4!49</t>
  </si>
  <si>
    <t xml:space="preserve">BRK-INS-01-010120-PT</t>
  </si>
  <si>
    <t xml:space="preserve">IT 5020-00249</t>
  </si>
  <si>
    <t xml:space="preserve">DETERMINAÇÃO DE HIDROGÊNIO E/ OU OUTROS GASES FIXOS POR CROMATOGRAFIA EM FASE GASOSA</t>
  </si>
  <si>
    <t xml:space="preserve">ASTM D2504; ASTM D1946</t>
  </si>
  <si>
    <t xml:space="preserve">NDocs Q4!50</t>
  </si>
  <si>
    <t xml:space="preserve">BRK-INS-01-010835-PT</t>
  </si>
  <si>
    <t xml:space="preserve">IT 5020-01060</t>
  </si>
  <si>
    <t xml:space="preserve">COMPOSTOS OXIGENADOS EM HIDROCARBONETOS LÍQUIDOS POR CROMATOGRAFIA GASOSA E DETECTOR FID</t>
  </si>
  <si>
    <t xml:space="preserve">Fora de Uso </t>
  </si>
  <si>
    <t xml:space="preserve">Daniel Cesar De Abreu</t>
  </si>
  <si>
    <t xml:space="preserve">ASTM D7423 - STANDARD TEST METHOD FOR DETERMINATION OF OXYGENATES IN C2, C3, C4, AND C5 HYDROCARBON MATRICES BY GAS CHROMATOGRAPHY AND FLAME IONIZATION DETECTION.</t>
  </si>
  <si>
    <t xml:space="preserve">NDocs Q4!51</t>
  </si>
  <si>
    <t xml:space="preserve">BRK-INS-01-011537-PT</t>
  </si>
  <si>
    <t xml:space="preserve">IT 5020-01254</t>
  </si>
  <si>
    <t xml:space="preserve">DETERMINAÇÃO DE COMPOSTOS SULFURADOS EM HC GASOSOS OU LIQUEFEITOS POR CG E DETECÇÃO POR QUIMILUMINÊSCENCIA</t>
  </si>
  <si>
    <t xml:space="preserve">ASTM D5504</t>
  </si>
  <si>
    <t xml:space="preserve">NDocs Q4!52</t>
  </si>
  <si>
    <t xml:space="preserve">BRK-INS-01-016214-PT</t>
  </si>
  <si>
    <t xml:space="preserve">IT 5020-00169</t>
  </si>
  <si>
    <t xml:space="preserve">DETERMINAÇÃO DE ENXOFRE TOTAL POR FLUORESCÊNCIA</t>
  </si>
  <si>
    <t xml:space="preserve">ASTM D5453; ASTM D6667; ASTM D7183 - STANDARD TEST METHOD FOR DETERMINATION OF TOTAL SULFUR IN AROMATIC HYDROCARBONS AND RELATED CHEMICALS BY ULTRAVIOLET FLUORESCENCE.</t>
  </si>
  <si>
    <t xml:space="preserve">NDocs Q4!53</t>
  </si>
  <si>
    <t xml:space="preserve">BRK-INS-01-016270-PT</t>
  </si>
  <si>
    <t xml:space="preserve">IT 5020-00183</t>
  </si>
  <si>
    <t xml:space="preserve">DETERMINAÇÃO DE OXIDOS DE CARBONO POR CROMATOGRAFIA GASOSA</t>
  </si>
  <si>
    <t xml:space="preserve">UOP 603 - TRACE CO AND CO2 IN HYDROGEN AND LIGHT GASEOUS HYDROCARBONS BY GC.</t>
  </si>
  <si>
    <t xml:space="preserve">NDocs Q4!54</t>
  </si>
  <si>
    <t xml:space="preserve">BRK-INS-01-018920-PT</t>
  </si>
  <si>
    <t xml:space="preserve">IT 5020-01083</t>
  </si>
  <si>
    <t xml:space="preserve">RESÍDUO NÃO-VOLÁTIL EM GASES LIQUEFEITOS DE PETRÓLEO</t>
  </si>
  <si>
    <t xml:space="preserve">Gabrielle Cristina Candido Pereira</t>
  </si>
  <si>
    <t xml:space="preserve">NDocs Q4!55</t>
  </si>
  <si>
    <t xml:space="preserve">BRK-INS-01-011759-PT</t>
  </si>
  <si>
    <t xml:space="preserve">IT 5020-01328</t>
  </si>
  <si>
    <t xml:space="preserve">DETERMINAÇÃO DE HIDROCARBONETOS CONTAMINANTES NO PROPENO POR CROMATOGRAFIA GASOSA</t>
  </si>
  <si>
    <t xml:space="preserve">ASTM D2712; ASTM D2163</t>
  </si>
  <si>
    <t xml:space="preserve">NDocs Q4!56</t>
  </si>
  <si>
    <t xml:space="preserve">BRK-INS-01-011784-PT</t>
  </si>
  <si>
    <t xml:space="preserve">IT 5020-01334</t>
  </si>
  <si>
    <t xml:space="preserve">DETERMINAÇÃO DA PRESSÃO DE VAPOR EM PRODUTOS DE PETRÓLEO</t>
  </si>
  <si>
    <t xml:space="preserve">ASTM D5191 - STANDARD TEST METHOD FOR VAPOR PRESSURE OF PETROLEUM PRODUCTS (MINI METHOD); ASTM D6378 - STANDARD TEST METHOD FOR DETERMINATION OF VAPOR PRESSURE (VPX) OF PETROLEUM PRODUCTS, HYDROCARBONS, AND HYDROCARBON-OXYGENATE MIXTURES (TRIPLE EXPANSION METHOD); ASTM D4953 - STANDARD TEST METHOD FOR VAPOR PRESSURE OF GASOLINE AND GASOLINE-OXYGENATE BLENDS (DRY METHOD).; ASTM D323 - STANDARD TEST METHOD FOR SALTS IN CRUDE OIL (ELECTROMETRIC METHOD).</t>
  </si>
  <si>
    <t xml:space="preserve">NDocs Q4!57</t>
  </si>
  <si>
    <t xml:space="preserve">BRK-INS-01-011812-PT</t>
  </si>
  <si>
    <t xml:space="preserve">IT 5020-01340</t>
  </si>
  <si>
    <t xml:space="preserve">DETERMINAÇÃO DE OXIGÊNIO PPM MOL EM GASES</t>
  </si>
  <si>
    <t xml:space="preserve">Camila Moraes De Oliveira</t>
  </si>
  <si>
    <t xml:space="preserve">NDocs Q4!58</t>
  </si>
  <si>
    <t xml:space="preserve">BRK-INS-01-011875-PT</t>
  </si>
  <si>
    <t xml:space="preserve">IT 5020-01372</t>
  </si>
  <si>
    <t xml:space="preserve">DESTILAÇÃO DE HC’S LÍQUIDOS - ASTM D86</t>
  </si>
  <si>
    <t xml:space="preserve">ASTM D86 - STANDARD TEST METHOD FOR DISTILLATION OF PETROLEUM PRODUCTS AND LIQUID FUELS AT ATMOSPHERIC PRESSURE</t>
  </si>
  <si>
    <t xml:space="preserve">NDocs Q4!59</t>
  </si>
  <si>
    <t xml:space="preserve">BRK-INS-01-011948-PT</t>
  </si>
  <si>
    <t xml:space="preserve">IT 5020-01396</t>
  </si>
  <si>
    <t xml:space="preserve">DETERMINAÇÃO DE POLÍMEROS EM SOLUÇÕES CÁUSTICAS</t>
  </si>
  <si>
    <t xml:space="preserve">NDocs Q4!60</t>
  </si>
  <si>
    <t xml:space="preserve">BRK-INS-01-013884-PT</t>
  </si>
  <si>
    <t xml:space="preserve">IT 5020-01991</t>
  </si>
  <si>
    <t xml:space="preserve">HIDROCARBONETOS LÍQUIDOS, LIQUEFEITOS E GASOSOS: DETERMINAÇÃO DE TRAÇOS DE NITROGENIO TOTAL POR COMBUSTÃO OXIDANTE E DETECÇÃO POR QUIMILUMINESCÊNCIA</t>
  </si>
  <si>
    <t xml:space="preserve">ASTM D4629</t>
  </si>
  <si>
    <t xml:space="preserve">NDocs Q4!61</t>
  </si>
  <si>
    <t xml:space="preserve">BRK-INS-01-014293-PT</t>
  </si>
  <si>
    <t xml:space="preserve">IT 5020-02155</t>
  </si>
  <si>
    <t xml:space="preserve">ANÁLISE DE ÁGUA POR KARL-FISCHER</t>
  </si>
  <si>
    <t xml:space="preserve">NOR ASTM E203 2008 Ex.1; ASTM D1744 - STANDARD TEST METHOD FOR DETERMINATION OF WATER IN LIQUID PETROLEUM PRODUCTS</t>
  </si>
  <si>
    <t xml:space="preserve">NDocs Q4!62</t>
  </si>
  <si>
    <t xml:space="preserve">BRK-INS-01-014989-PT</t>
  </si>
  <si>
    <t xml:space="preserve">IT 5020-02404</t>
  </si>
  <si>
    <t xml:space="preserve">DETERMINAÇÃO DE UMIDADE EM HIDROCARBONETOS GASOSOS</t>
  </si>
  <si>
    <t xml:space="preserve">Cintia Bernardo De Vargas</t>
  </si>
  <si>
    <t xml:space="preserve">NDocs Q4!63</t>
  </si>
  <si>
    <t xml:space="preserve">BRK-INS-01-010058-PT</t>
  </si>
  <si>
    <t xml:space="preserve">IT 5020-00227</t>
  </si>
  <si>
    <t xml:space="preserve">EXTRAÍVEIS EM POLIETILENO POR RMN</t>
  </si>
  <si>
    <t xml:space="preserve">NDocs PE_PP!3</t>
  </si>
  <si>
    <t xml:space="preserve">BRK-INS-01-012382-PT</t>
  </si>
  <si>
    <t xml:space="preserve">IT 5020-01543</t>
  </si>
  <si>
    <t xml:space="preserve">DETERMINAÇÃO DA DENSIDADE APARENTE EM PÓ OU GRÃOS DE POLIETILENO E POLIPROPILENO</t>
  </si>
  <si>
    <t xml:space="preserve">Aprovado </t>
  </si>
  <si>
    <t xml:space="preserve">NDocs PE_PP!4</t>
  </si>
  <si>
    <t xml:space="preserve">BRK-INS-01-013366-PT</t>
  </si>
  <si>
    <t xml:space="preserve">IT 5020-01820</t>
  </si>
  <si>
    <t xml:space="preserve">DETERMINAÇÃO DA GRANULOMETRIA EM PÓ DE POLIPROPILENO</t>
  </si>
  <si>
    <t xml:space="preserve">NDocs PE_PP!5</t>
  </si>
  <si>
    <t xml:space="preserve">BRK-INS-01-016106-PT</t>
  </si>
  <si>
    <t xml:space="preserve">IT 5020-00146</t>
  </si>
  <si>
    <t xml:space="preserve">PREPARAÇÃO DE PLACAS POR MOLDAGEM EM PRENSA</t>
  </si>
  <si>
    <t xml:space="preserve">ASTM D4703 - Standard Practice for Compression Molding Thermoplastic Materials into Test Specimens, Plaques, or Sheets</t>
  </si>
  <si>
    <t xml:space="preserve">NDocs PE_PP!6</t>
  </si>
  <si>
    <t xml:space="preserve">BRK-INS-01-016114-PT</t>
  </si>
  <si>
    <t xml:space="preserve">IT 5020-00148</t>
  </si>
  <si>
    <t xml:space="preserve">DETERMINAÇÃO DA DENSIDADE POR EMPUXO NO POLIETILENO</t>
  </si>
  <si>
    <t xml:space="preserve">ASTM D792 - STANDARD SPECIFICATION FOR POLYETHYLENE PLASTICS PIPE AND FITTINGS MATERIALS</t>
  </si>
  <si>
    <t xml:space="preserve">NDocs PE_PP!7</t>
  </si>
  <si>
    <t xml:space="preserve">BRK-INS-01-016121-PT</t>
  </si>
  <si>
    <t xml:space="preserve">IT 5020-00150</t>
  </si>
  <si>
    <t xml:space="preserve">AVALIAÇÃO DE FILME EM RESINA DE POLIETILENO</t>
  </si>
  <si>
    <t xml:space="preserve">NDocs PE_PP!8</t>
  </si>
  <si>
    <t xml:space="preserve">BRK-INS-01-016130-PT</t>
  </si>
  <si>
    <t xml:space="preserve">IT 5020-00151</t>
  </si>
  <si>
    <t xml:space="preserve">DETERMINAÇÃO DE CONTAMINAÇÃO, COR-OFF, UNIFORMIDADE, CONTAGEM DE PELLETS E ODOR EM RESINA DE POLIETILENO</t>
  </si>
  <si>
    <t xml:space="preserve">NDocs PE_PP!9</t>
  </si>
  <si>
    <t xml:space="preserve">BRK-INS-01-016142-PT</t>
  </si>
  <si>
    <t xml:space="preserve">IT 5020-00153</t>
  </si>
  <si>
    <t xml:space="preserve">DETERMINAÇÃO DE CINZAS EM POLIETILENO E POLIPROPILENO</t>
  </si>
  <si>
    <t xml:space="preserve">NDocs PE_PP!10</t>
  </si>
  <si>
    <t xml:space="preserve">BRK-INS-01-016149-PT</t>
  </si>
  <si>
    <t xml:space="preserve">IT 5020-00154</t>
  </si>
  <si>
    <t xml:space="preserve">DETERMINAÇÃO DA DENSIDADE APARENTE EM PÓ OU GRÃOS DE POLIETILENO</t>
  </si>
  <si>
    <t xml:space="preserve">ASTM D1895</t>
  </si>
  <si>
    <t xml:space="preserve">NDocs PE_PP!11</t>
  </si>
  <si>
    <t xml:space="preserve">BRK-INS-01-016159-PT</t>
  </si>
  <si>
    <t xml:space="preserve">IT 5020-00157</t>
  </si>
  <si>
    <t xml:space="preserve">DETERMINAÇÃO DE ADITIVOS EM RESINAS DE PE E PP VIA EDXRF</t>
  </si>
  <si>
    <t xml:space="preserve">NDocs PE_PP!12</t>
  </si>
  <si>
    <t xml:space="preserve">BRK-INS-01-016174-PT</t>
  </si>
  <si>
    <t xml:space="preserve">IT 5020-00161</t>
  </si>
  <si>
    <t xml:space="preserve">ESTOCAGEM DE AMOSTRAS TESTEMUNHAS</t>
  </si>
  <si>
    <t xml:space="preserve">NDocs PE_PP!13</t>
  </si>
  <si>
    <t xml:space="preserve">BRK-INS-01-016182-PT</t>
  </si>
  <si>
    <t xml:space="preserve">IT 5020-00162</t>
  </si>
  <si>
    <t xml:space="preserve">CRITÉRIOS PARA AMOSTRAGENS E ANÁLISES DE LOTES PARA PRODUTO FINAL</t>
  </si>
  <si>
    <t xml:space="preserve">NDocs PE_PP!14</t>
  </si>
  <si>
    <t xml:space="preserve">BRK-INS-01-018894-PT</t>
  </si>
  <si>
    <t xml:space="preserve">4.0</t>
  </si>
  <si>
    <t xml:space="preserve">IT 5020-00152</t>
  </si>
  <si>
    <t xml:space="preserve">DETERMINAÇÃO DO PESO DO TAMANHO MÉDIO DE PARTÍCULA EM RESINAS EM PÓ DE POLIETILENO</t>
  </si>
  <si>
    <t xml:space="preserve">ASTM D1921</t>
  </si>
  <si>
    <t xml:space="preserve">NDocs PE_PP!15</t>
  </si>
  <si>
    <t xml:space="preserve">BRK-INS-01-018896-PT</t>
  </si>
  <si>
    <t xml:space="preserve">IT 5020-00155</t>
  </si>
  <si>
    <t xml:space="preserve">DETERMINAÇÃO DE EXTRAÍVEIS EM CICLOHEXANO EM RESINAS DE POLIETILENO DE ALTA DENSIDADE</t>
  </si>
  <si>
    <t xml:space="preserve">NDocs PE_PP!16</t>
  </si>
  <si>
    <t xml:space="preserve">BRK-INS-01-018902-PT</t>
  </si>
  <si>
    <t xml:space="preserve">IT 5020-00234</t>
  </si>
  <si>
    <t xml:space="preserve">OPERAÇÃO DOS EQUIPAMENTOS PARA ANÁLISE DE ÍNDICE DE FLUIDEZ DO LCQ - DCX</t>
  </si>
  <si>
    <t xml:space="preserve">ASTM D1238</t>
  </si>
  <si>
    <t xml:space="preserve">NDocs PE_PP!17</t>
  </si>
  <si>
    <t xml:space="preserve">BRK-INS-01-021158-PT</t>
  </si>
  <si>
    <t xml:space="preserve">IT 5020-00275</t>
  </si>
  <si>
    <t xml:space="preserve">DETERMINAÇÃO DE SOLÚVEIS EM XILENO EM POLIPROPILENO POR RMN - PP5</t>
  </si>
  <si>
    <t xml:space="preserve">NDocs PE_PP!18</t>
  </si>
  <si>
    <t xml:space="preserve">BRK-INS-01-011939-PT</t>
  </si>
  <si>
    <t xml:space="preserve">21.0</t>
  </si>
  <si>
    <t xml:space="preserve">IT 2010-00001</t>
  </si>
  <si>
    <t xml:space="preserve">ESPECIFICAÇÃO E CLASSIFICAÇÃO DE PRODUTO FINAL E CODIFICAÇÃO DE LOTES – PE, EVA E PVC</t>
  </si>
  <si>
    <t xml:space="preserve">THAIS NYLAND</t>
  </si>
  <si>
    <t xml:space="preserve">NDocs PE_PP!19</t>
  </si>
  <si>
    <t xml:space="preserve">BRK-INS-01-011947-PT</t>
  </si>
  <si>
    <t xml:space="preserve">13.0</t>
  </si>
  <si>
    <t xml:space="preserve">IT 2010-00002</t>
  </si>
  <si>
    <t xml:space="preserve">ESPECIFICAÇÃO E CLASSIFICAÇÃO DE PRODUTO FINAL E CODIFICAÇÃO DE LOTES - PP</t>
  </si>
  <si>
    <t xml:space="preserve">NDocs PE_PP!20</t>
  </si>
  <si>
    <t xml:space="preserve">BRK-INS-01-012278-PT</t>
  </si>
  <si>
    <t xml:space="preserve">IT 5020-01493</t>
  </si>
  <si>
    <t xml:space="preserve">DETERMINAÇÃO DA QUALIDADE DO FILME EM POLIPROPILENO</t>
  </si>
  <si>
    <t xml:space="preserve">ELTON LUIS SOARES TABORDA</t>
  </si>
  <si>
    <t xml:space="preserve">NDocs PE_PP!21</t>
  </si>
  <si>
    <t xml:space="preserve">BRK-INS-01-012618-PT</t>
  </si>
  <si>
    <t xml:space="preserve">IT 5020-01600</t>
  </si>
  <si>
    <t xml:space="preserve">DETERMINAÇÃO DA FLUORESCÊNCIA EM POLIETILENO E POLIPROPILENO </t>
  </si>
  <si>
    <t xml:space="preserve">Diego Bauer Jung</t>
  </si>
  <si>
    <t xml:space="preserve">NDocs PE_PP!22</t>
  </si>
  <si>
    <t xml:space="preserve">BRK-INS-01-013009-PT</t>
  </si>
  <si>
    <t xml:space="preserve">IT 5020-01718</t>
  </si>
  <si>
    <t xml:space="preserve">DETERMINAÇÃO DE CONTAMINAÇÃO, ANOMALIAS, APARÊNCIA, TAMANHO E UNIFORMIDADE DO POLÍMERO GRANULADO EM POLIETILENO (PE)</t>
  </si>
  <si>
    <t xml:space="preserve">LAIS ALMEIDA NASCIMENTO</t>
  </si>
  <si>
    <t xml:space="preserve">NDocs PE_PP!23</t>
  </si>
  <si>
    <t xml:space="preserve">BRK-INS-01-013305-PT</t>
  </si>
  <si>
    <t xml:space="preserve">IT 5020-01800</t>
  </si>
  <si>
    <t xml:space="preserve">DETERMINAÇÃO DE ÍNDICE DE FLUIDEZ</t>
  </si>
  <si>
    <t xml:space="preserve">CRISTIANO DOS SANTOS CORREA</t>
  </si>
  <si>
    <t xml:space="preserve">NDocs PE_PP!24</t>
  </si>
  <si>
    <t xml:space="preserve">BRK-INS-01-013358-PT</t>
  </si>
  <si>
    <t xml:space="preserve">IT 5020-01813</t>
  </si>
  <si>
    <t xml:space="preserve">DETERMINAÇÃO DO TEOR DE SOLÚVEIS EM XILENO TOTAL, AMORFO E OLIGÔMEROS</t>
  </si>
  <si>
    <t xml:space="preserve">Revisão </t>
  </si>
  <si>
    <t xml:space="preserve">BRUNA LUISA GOLDSCHMIDT</t>
  </si>
  <si>
    <t xml:space="preserve">NDocs PE_PP!25</t>
  </si>
  <si>
    <t xml:space="preserve">BRK-INS-01-013647-PT</t>
  </si>
  <si>
    <t xml:space="preserve">IT 5020-01913</t>
  </si>
  <si>
    <t xml:space="preserve">AVALIAÇÃO DA APARÊNCIA DE FILME VIA OCS</t>
  </si>
  <si>
    <t xml:space="preserve">NDocs PE_PP!26</t>
  </si>
  <si>
    <t xml:space="preserve">BRK-INS-01-013840-PT</t>
  </si>
  <si>
    <t xml:space="preserve">IT 5020-01975</t>
  </si>
  <si>
    <t xml:space="preserve">DETERMINAÇÃO DO TEOR DE ETENO EM COPOLÍMEROS E AMORFOS PROPENO-ETENO VIA FTIR</t>
  </si>
  <si>
    <t xml:space="preserve">Regina Funck Nonemacher</t>
  </si>
  <si>
    <t xml:space="preserve">NDocs PE_PP!27</t>
  </si>
  <si>
    <t xml:space="preserve">BRK-INS-01-014245-PT</t>
  </si>
  <si>
    <t xml:space="preserve">IT 5020-02130</t>
  </si>
  <si>
    <t xml:space="preserve">DETERMINAÇÃO DO ÍNDICE DE AMARELECIMENTO E BRANCURA EM RESINAS POLIOLEFÍNICAS E DA LUMINOSIDADE (L) E COR (A) E (B) EM POLIETILENO DE ULTRA ALTO PESO MOLECULAR - UTEC</t>
  </si>
  <si>
    <t xml:space="preserve">Janaina Kranz De Oliveira</t>
  </si>
  <si>
    <t xml:space="preserve">Não aplicáve ao RJ </t>
  </si>
  <si>
    <t xml:space="preserve">NDocs PE_PP!28</t>
  </si>
  <si>
    <t xml:space="preserve">BRK-INS-01-014855-PT</t>
  </si>
  <si>
    <t xml:space="preserve">IT 5020-02361</t>
  </si>
  <si>
    <t xml:space="preserve">DETERMINAÇÃO DE CONTAMINAÇÃO, ANOMALIAS, APARÊNCIA, TAMANHO E UNIFORMIDADE DO POLÍMERO GRANULADO EM POLIPROPILENO (PP)</t>
  </si>
  <si>
    <t xml:space="preserve">EDUARDO STOFFEL WAGNER</t>
  </si>
  <si>
    <t xml:space="preserve">NDocs PE_PP!29</t>
  </si>
  <si>
    <t xml:space="preserve">BRK-INS-01-015313-PT</t>
  </si>
  <si>
    <t xml:space="preserve">IT 5020-02557</t>
  </si>
  <si>
    <t xml:space="preserve">ETERMINAÇÃO DA QUALIDADE DO FILME EM POLIPROPILENO EM EXTRUSORA OCS</t>
  </si>
  <si>
    <t xml:space="preserve">NDocs PE_PP!30</t>
  </si>
  <si>
    <t xml:space="preserve">BRK-INS-01-013417-PT</t>
  </si>
  <si>
    <t xml:space="preserve">IT 5020-01832</t>
  </si>
  <si>
    <t xml:space="preserve">OPERAÇÃO DOS EQUIPAMENTOS PARA ANÁLISE DE ÍNDICE DE FLUIDEZ DO LCQ PP5</t>
  </si>
  <si>
    <t xml:space="preserve">Cancelado</t>
  </si>
  <si>
    <t xml:space="preserve">CANCELAR</t>
  </si>
  <si>
    <t xml:space="preserve">Será unifciado  com o de PE</t>
  </si>
  <si>
    <t xml:space="preserve">NDocs PE_PP!32</t>
  </si>
  <si>
    <t xml:space="preserve">BRK-INS-01-012704-PT</t>
  </si>
  <si>
    <t xml:space="preserve">IT 5020-01625</t>
  </si>
  <si>
    <t xml:space="preserve">ONTROLE DE QUALIDADE DE RESINAS DE PE, PP E EVA - REGIONAL RS</t>
  </si>
  <si>
    <t xml:space="preserve">Avaiação de uso </t>
  </si>
  <si>
    <t xml:space="preserve">CLEITON LEANDRO ZIMMERMANN PEREIRA</t>
  </si>
  <si>
    <t xml:space="preserve">Não aplicável ao RJ </t>
  </si>
  <si>
    <t xml:space="preserve">NDocs PE_PP!33</t>
  </si>
  <si>
    <t xml:space="preserve">BRK-INS-01-016681-PT</t>
  </si>
  <si>
    <t xml:space="preserve">3.0</t>
  </si>
  <si>
    <t xml:space="preserve"> IT 5030-02940-PT</t>
  </si>
  <si>
    <t xml:space="preserve">AJUSTECALIBRAÇÃO DOS ANALISADORES DE OXIGÊNIO DISSOLVIDO</t>
  </si>
  <si>
    <t xml:space="preserve">Ana Claudia Sergio De Oliveira</t>
  </si>
  <si>
    <t xml:space="preserve">NDocs AOL!3; NDocs AOL!31</t>
  </si>
  <si>
    <t xml:space="preserve">BRK-INS-01-010113-PT</t>
  </si>
  <si>
    <t xml:space="preserve">IT 5020-00246</t>
  </si>
  <si>
    <t xml:space="preserve">ROTINA DIÁRIA EM ANALISADORES EM LINHA</t>
  </si>
  <si>
    <t xml:space="preserve">NDocs AOL!4</t>
  </si>
  <si>
    <t xml:space="preserve">BRK-INS-01-016231-PT</t>
  </si>
  <si>
    <t xml:space="preserve">IT 5030-00252</t>
  </si>
  <si>
    <t xml:space="preserve">AJUSTECALIBRAÇÃO DE ANALISADORES DE UMIDADE PANAMETRICS</t>
  </si>
  <si>
    <t xml:space="preserve"> 01/06/2031</t>
  </si>
  <si>
    <t xml:space="preserve">NDocs AOL!5; NDocs AOL!10</t>
  </si>
  <si>
    <t xml:space="preserve">BRK-INS-01-010963-PT</t>
  </si>
  <si>
    <t xml:space="preserve">IT 5030-02040</t>
  </si>
  <si>
    <t xml:space="preserve">CALIBRAÇÃO DO ANALISADOR DE TOC</t>
  </si>
  <si>
    <t xml:space="preserve">NDocs AOL!6; NDocs AOL!27</t>
  </si>
  <si>
    <t xml:space="preserve">BRK-INS-01-010224-PT</t>
  </si>
  <si>
    <t xml:space="preserve">IT 5030-01705</t>
  </si>
  <si>
    <t xml:space="preserve">AJUSTE E OPERAÇÃO DO SISTEMA DE PURIFICAÇÃO DE ÁGUA MILLI-Q.</t>
  </si>
  <si>
    <t xml:space="preserve">NDocs AOL!7</t>
  </si>
  <si>
    <t xml:space="preserve">BRK-INS-01-017935-PT</t>
  </si>
  <si>
    <t xml:space="preserve">IT 5030-01591</t>
  </si>
  <si>
    <t xml:space="preserve"> AJUSTE E CALIBRAÇÃO DOS CROMATÓGRAFOS DE DCX RJ</t>
  </si>
  <si>
    <t xml:space="preserve">NDocs AOL!8</t>
  </si>
  <si>
    <t xml:space="preserve">BRK-INS-01-016205-PT</t>
  </si>
  <si>
    <t xml:space="preserve"> IT 5030-00248</t>
  </si>
  <si>
    <t xml:space="preserve">AJUSTE E CALIBRAÇÃO DE ANALISADORES DE OXIGÊNIO DA SERVOMEX - DCX RJ</t>
  </si>
  <si>
    <t xml:space="preserve">NDocs AOL!9</t>
  </si>
  <si>
    <t xml:space="preserve">BRK-INS-01-016254-PT</t>
  </si>
  <si>
    <t xml:space="preserve"> IT 5030-00254</t>
  </si>
  <si>
    <t xml:space="preserve">AJUSTE E CALIBRAÇÃO DE DETECTORES DE GÁS DCX RJ</t>
  </si>
  <si>
    <t xml:space="preserve">NDocs AOL!11</t>
  </si>
  <si>
    <t xml:space="preserve">BRK-INS-01-021348-PT</t>
  </si>
  <si>
    <t xml:space="preserve">AJUSTE E CALIBRAÇÃO DO ANALISADOR DE HIDROCARBONETO DCX RJ</t>
  </si>
  <si>
    <t xml:space="preserve">NDocs AOL!12</t>
  </si>
  <si>
    <t xml:space="preserve">BRK-INS-01-016243-PT</t>
  </si>
  <si>
    <t xml:space="preserve"> IT 5030-00253</t>
  </si>
  <si>
    <t xml:space="preserve">AJUSTECALIBRAÇÃO DE ANALISADORES DE TURBIDEZ DCX RJ</t>
  </si>
  <si>
    <t xml:space="preserve">NDocs AOL!13</t>
  </si>
  <si>
    <t xml:space="preserve">BRK-INS-01-016274-PT</t>
  </si>
  <si>
    <t xml:space="preserve">IT 5030-00258</t>
  </si>
  <si>
    <t xml:space="preserve">CALIBRAÇÃO DE ANALISADORES DE CO E O2</t>
  </si>
  <si>
    <t xml:space="preserve">NDocs AOL!14</t>
  </si>
  <si>
    <t xml:space="preserve">BRK-INS-01-015879-PT</t>
  </si>
  <si>
    <t xml:space="preserve">2.0</t>
  </si>
  <si>
    <t xml:space="preserve"> IT 5020-02753-PT</t>
  </si>
  <si>
    <t xml:space="preserve">AJUSTE E CALIBRAÇÃO DO REÔMETRO PP5 - LCQ RJ</t>
  </si>
  <si>
    <t xml:space="preserve">NDocs AOL!16</t>
  </si>
  <si>
    <t xml:space="preserve">BRK-INS-01-015358-PT</t>
  </si>
  <si>
    <t xml:space="preserve"> 6.0</t>
  </si>
  <si>
    <t xml:space="preserve"> IT 5030-02313</t>
  </si>
  <si>
    <t xml:space="preserve">CALIBRAÇÃO E MANUTENÇÃO DE DETECTORES DE O2 E HC - CROWCON</t>
  </si>
  <si>
    <t xml:space="preserve">NDocs AOL!17</t>
  </si>
  <si>
    <t xml:space="preserve">BRK-INS-01-017892-PT</t>
  </si>
  <si>
    <t xml:space="preserve">IT 5030-01562</t>
  </si>
  <si>
    <t xml:space="preserve">AJUSTE E CALIBRAÇÃO DOS ANALISADORES CONDUTIVIDADE DCX RJ</t>
  </si>
  <si>
    <t xml:space="preserve">NDocs AOL!18</t>
  </si>
  <si>
    <t xml:space="preserve">BRK-INS-01-010971-PT</t>
  </si>
  <si>
    <t xml:space="preserve"> IT 5030-02045</t>
  </si>
  <si>
    <t xml:space="preserve">AJUSTECALIBRAÇÃO DOS ANALISADORES DE PH KNICK</t>
  </si>
  <si>
    <t xml:space="preserve">NDocs AOL!19</t>
  </si>
  <si>
    <t xml:space="preserve">BRK-INS-01-019032-PT</t>
  </si>
  <si>
    <t xml:space="preserve">10.0</t>
  </si>
  <si>
    <t xml:space="preserve">IT 5030-00250</t>
  </si>
  <si>
    <t xml:space="preserve">AJUSTECALIBRAÇÃO DE DETECTORES DE CHAMA UVIR</t>
  </si>
  <si>
    <t xml:space="preserve">NDocs AOL!20</t>
  </si>
  <si>
    <t xml:space="preserve">BRK-INS-01-016748-PT</t>
  </si>
  <si>
    <t xml:space="preserve">IT 5030-02962-PT</t>
  </si>
  <si>
    <t xml:space="preserve">AJUSTE E CALIBRAÇÃO DOS ANALISADORES PORTÁTEIS DE OXIGÊNIO DISSOLVIDO</t>
  </si>
  <si>
    <t xml:space="preserve">NDocs AOL!22</t>
  </si>
  <si>
    <t xml:space="preserve">BRK-INS-01-015443-PT</t>
  </si>
  <si>
    <t xml:space="preserve">IT 5030-02405</t>
  </si>
  <si>
    <t xml:space="preserve">AJUSTE E CALIBRAÇÃO DO CROMATÓGRAFO DE SULFURADOS - PP5</t>
  </si>
  <si>
    <t xml:space="preserve"> 09/06/2031</t>
  </si>
  <si>
    <t xml:space="preserve">NDocs AOL!25</t>
  </si>
  <si>
    <t xml:space="preserve">BRK-INS-01-016268-PT</t>
  </si>
  <si>
    <t xml:space="preserve"> IT 5030-00257</t>
  </si>
  <si>
    <t xml:space="preserve">CALIBRAÇÃO DO CALORÍMETRO</t>
  </si>
  <si>
    <t xml:space="preserve">NDocs AOL!26</t>
  </si>
  <si>
    <t xml:space="preserve">BRK-INS-01-016280-PT</t>
  </si>
  <si>
    <t xml:space="preserve">IT 5030-00259</t>
  </si>
  <si>
    <t xml:space="preserve">CALIBRAÇÃO DE ANALISADORES DE SÍLICA</t>
  </si>
  <si>
    <t xml:space="preserve">NDocs AOL!28</t>
  </si>
  <si>
    <t xml:space="preserve">BRK-INS-01-010096-PT</t>
  </si>
  <si>
    <t xml:space="preserve">IT 5020-00239</t>
  </si>
  <si>
    <t xml:space="preserve">ENTRADA, PERMANÊNCIA E SAÍDA DO SHELTER</t>
  </si>
  <si>
    <t xml:space="preserve">NDocs AOL!29</t>
  </si>
  <si>
    <t xml:space="preserve">BRK-INS-01-015311-PT</t>
  </si>
  <si>
    <t xml:space="preserve">IT 5030-02270</t>
  </si>
  <si>
    <t xml:space="preserve">AJUSTECALIBRAÇÃO DE ANALISADORES DE UMIDADE AMETEK</t>
  </si>
  <si>
    <t xml:space="preserve">NDocs AOL!30</t>
  </si>
  <si>
    <t xml:space="preserve">BRK-INS-01-015375-PT</t>
  </si>
  <si>
    <t xml:space="preserve">IT 5020-02576</t>
  </si>
  <si>
    <t xml:space="preserve"> SISTEMATIZAÇÃO DA ATUAÇÃO EM ANALISADORES DO LCQ DCX</t>
  </si>
  <si>
    <t xml:space="preserve">NDocs AOL!32</t>
  </si>
  <si>
    <t xml:space="preserve">BRK-INS-01-010045-PT</t>
  </si>
  <si>
    <t xml:space="preserve">IT 5020-00223</t>
  </si>
  <si>
    <t xml:space="preserve">COLETA DE AMOSTRAS PARA ENSAIOS NO LCQ</t>
  </si>
  <si>
    <t xml:space="preserve">Isabel Teixeira Malvar Pinto </t>
  </si>
  <si>
    <t xml:space="preserve">NDocs COMUNS!3</t>
  </si>
  <si>
    <t xml:space="preserve">BRK-INS-01-010092-PT</t>
  </si>
  <si>
    <t xml:space="preserve">IT 5020-00236</t>
  </si>
  <si>
    <t xml:space="preserve">IDENTIFICAÇÃO DE EQUIPAMENTOS - LCQ - DCX (TAG)</t>
  </si>
  <si>
    <t xml:space="preserve">NDocs COMUNS!4</t>
  </si>
  <si>
    <t xml:space="preserve">BRK-INS-01-010100-PT</t>
  </si>
  <si>
    <t xml:space="preserve">IT 5020-00244</t>
  </si>
  <si>
    <t xml:space="preserve">INSPEÇÃO DE CAPELAS, COIFAS E OUTROS SISTEMAS DE EXAUSTÃO - LCQ DCX</t>
  </si>
  <si>
    <t xml:space="preserve">NR-09 - Programa de Prevenção de Riscos Ambientais&gt;NR-15 - Atividades e Operações Insalubres</t>
  </si>
  <si>
    <t xml:space="preserve">NDocs COMUNS!5</t>
  </si>
  <si>
    <t xml:space="preserve">BRK-INS-01-010107-PT</t>
  </si>
  <si>
    <t xml:space="preserve">IT 5020-00245</t>
  </si>
  <si>
    <t xml:space="preserve">CONTROLE METROLÓGICO LCQ DCX - Q4, PE9 e PP5</t>
  </si>
  <si>
    <t xml:space="preserve">NDocs COMUNS!6</t>
  </si>
  <si>
    <t xml:space="preserve">BRK-INS-01-010133-PT</t>
  </si>
  <si>
    <t xml:space="preserve">IT 5020-00254</t>
  </si>
  <si>
    <t xml:space="preserve">MANUAL DE SEGURANÇA DO LABORATÓRIO</t>
  </si>
  <si>
    <t xml:space="preserve">NDocs COMUNS!7</t>
  </si>
  <si>
    <t xml:space="preserve">BRK-INS-01-010140-PT</t>
  </si>
  <si>
    <t xml:space="preserve">11.0</t>
  </si>
  <si>
    <t xml:space="preserve">IT 5020-00255</t>
  </si>
  <si>
    <t xml:space="preserve">GESTÃO DE CONTROLE DA QUALIDADE - LCQ - DCX</t>
  </si>
  <si>
    <t xml:space="preserve">NDocs COMUNS!8</t>
  </si>
  <si>
    <t xml:space="preserve">BRK-INS-01-015363-PT</t>
  </si>
  <si>
    <t xml:space="preserve">IT 5020-02572</t>
  </si>
  <si>
    <t xml:space="preserve">AVALIAÇÃO CRÍTICA DE RESULTADOS ANALÍTICOS LCQ DCX</t>
  </si>
  <si>
    <t xml:space="preserve">NDocs COMUNS!9</t>
  </si>
  <si>
    <t xml:space="preserve">BRK-INS-01-015875-PT</t>
  </si>
  <si>
    <t xml:space="preserve">IT 5020-02752</t>
  </si>
  <si>
    <t xml:space="preserve">SISTEMÁTICA DE CALIBRAÇÃO E MANUTENÇÃO DOS INSTRUMENTOS/EQUIPAMENTOS DO LCQ RJ - Q4/PE9 E PP5</t>
  </si>
  <si>
    <t xml:space="preserve">NDocs COMUNS!10</t>
  </si>
  <si>
    <t xml:space="preserve">BRK-INS-01-016085-PT</t>
  </si>
  <si>
    <t xml:space="preserve">IT 5020-00144</t>
  </si>
  <si>
    <t xml:space="preserve">DESCARTE E LIMPEZA DE MATERIAIS DE LABORATÓRIO</t>
  </si>
  <si>
    <t xml:space="preserve">NDocs COMUNS!11</t>
  </si>
  <si>
    <t xml:space="preserve">BRK-INS-01-016094-PT</t>
  </si>
  <si>
    <t xml:space="preserve">IT 5020-00145</t>
  </si>
  <si>
    <t xml:space="preserve">ELABORAÇÃO E AJUSTES DO PLANO DE ROTINA DE ANÁLISES - PRA</t>
  </si>
  <si>
    <t xml:space="preserve">NDocs COMUNS!12</t>
  </si>
  <si>
    <t xml:space="preserve">BRK-INS-01-015184-PT</t>
  </si>
  <si>
    <t xml:space="preserve">IT 5020-02510</t>
  </si>
  <si>
    <t xml:space="preserve">SISTEMÁTICA DE TREINAMENTO E DESENVOLVIMENTO - LCQ IND RJ</t>
  </si>
  <si>
    <t xml:space="preserve">NDocs COMUNS!13</t>
  </si>
  <si>
    <t xml:space="preserve">✓  QUALIDADE E CONFIABILIDADE DA BASE</t>
  </si>
  <si>
    <t xml:space="preserve">Auditoria da consolidação das Instruções — achados classificados em Crítico, Atenção e Informativo</t>
  </si>
  <si>
    <t xml:space="preserve">LINHAS LIDAS</t>
  </si>
  <si>
    <t xml:space="preserve">CÓDIGOS ÚNICOS</t>
  </si>
  <si>
    <t xml:space="preserve">CRÍTICO</t>
  </si>
  <si>
    <t xml:space="preserve">ATENÇÃO</t>
  </si>
  <si>
    <t xml:space="preserve">INFORMATIVO</t>
  </si>
  <si>
    <t xml:space="preserve">Q4 + PE_PP + AOL + COMUNS (sem LVS)</t>
  </si>
  <si>
    <t xml:space="preserve">contagem principal</t>
  </si>
  <si>
    <t xml:space="preserve">exige correção no NDocs/origem</t>
  </si>
  <si>
    <t xml:space="preserve">corrigir na próxima atualização</t>
  </si>
  <si>
    <t xml:space="preserve">tratado na camada analítica</t>
  </si>
  <si>
    <t xml:space="preserve">VERIFICAÇÕES AUTOMÁTICAS (recalculam com a base)</t>
  </si>
  <si>
    <t xml:space="preserve">Resultado</t>
  </si>
  <si>
    <t xml:space="preserve">Verificação</t>
  </si>
  <si>
    <t xml:space="preserve">Classe se &gt; 0</t>
  </si>
  <si>
    <t xml:space="preserve">Status com grafia diferente do padrão</t>
  </si>
  <si>
    <t xml:space="preserve">Validade gravada como texto</t>
  </si>
  <si>
    <t xml:space="preserve">Ativas (exceto em elaboração) sem validade</t>
  </si>
  <si>
    <t xml:space="preserve">Responsável vazio</t>
  </si>
  <si>
    <t xml:space="preserve">Status fora da lista (Não encontrado / Avaliação de uso)</t>
  </si>
  <si>
    <t xml:space="preserve">Códigos com mais de um registro na origem</t>
  </si>
  <si>
    <t xml:space="preserve">Erros de fórmula na camada analítica da base</t>
  </si>
  <si>
    <t xml:space="preserve">Erros legados — LPP / AST Geral / MO</t>
  </si>
  <si>
    <t xml:space="preserve">ACHADOS DA AUDITORIA DE ORIGEM — 25 itens (gerado em 06/10/2026 a partir das abas de origem)</t>
  </si>
  <si>
    <t xml:space="preserve">Crítico = afeta a decisão ou a contagem · Atenção = inconsistência a corrigir na origem · Informativo = esperado ou já tratado na camada analítica</t>
  </si>
  <si>
    <t xml:space="preserve">ID</t>
  </si>
  <si>
    <t xml:space="preserve">Classe</t>
  </si>
  <si>
    <t xml:space="preserve">Categoria</t>
  </si>
  <si>
    <t xml:space="preserve">Código / local</t>
  </si>
  <si>
    <t xml:space="preserve">Descrição</t>
  </si>
  <si>
    <t xml:space="preserve">Evidência (origem)</t>
  </si>
  <si>
    <t xml:space="preserve">Tratamento no cockpit</t>
  </si>
  <si>
    <t xml:space="preserve">Q01</t>
  </si>
  <si>
    <t xml:space="preserve">Crítico</t>
  </si>
  <si>
    <t xml:space="preserve">Status crítico</t>
  </si>
  <si>
    <t xml:space="preserve">Status "Não encontrado" — documento não localizado no NDocs</t>
  </si>
  <si>
    <t xml:space="preserve">NDocs Q4!F21</t>
  </si>
  <si>
    <t xml:space="preserve">Prioridade 2 no painel Ação Necessária</t>
  </si>
  <si>
    <t xml:space="preserve">Q02</t>
  </si>
  <si>
    <t xml:space="preserve">Atenção</t>
  </si>
  <si>
    <t xml:space="preserve">Divergência cadastral — título</t>
  </si>
  <si>
    <t xml:space="preserve">AJUSTE E CALIBRAÇÃO DO ANALISADOR DE OXIGÊNIO DA TELEDYNE DCX RJ ≠ DETERMINAÇÃO DE OXIGÊNIO EM GASES POR TELEDYNE</t>
  </si>
  <si>
    <t xml:space="preserve">Base usa o título da 1ª origem; alinhar com o NDocs</t>
  </si>
  <si>
    <t xml:space="preserve">Q03</t>
  </si>
  <si>
    <t xml:space="preserve">AJUSTES E CALIBRAÇÃO DO ANALISADOR DE UMIDADE PORTÁTIL ≠ CALIBRAÇÃO DE ANALISADOR DE UMIDADE PORTÁTIL PANAMETRICS</t>
  </si>
  <si>
    <t xml:space="preserve">Q04</t>
  </si>
  <si>
    <t xml:space="preserve">Duplicidade suspeita</t>
  </si>
  <si>
    <t xml:space="preserve">Mesmo código repetido na mesma aba, sem justificativa aparente</t>
  </si>
  <si>
    <t xml:space="preserve">Contado uma vez; recomenda-se remover a linha repetida na origem</t>
  </si>
  <si>
    <t xml:space="preserve">Q05</t>
  </si>
  <si>
    <t xml:space="preserve">Q06</t>
  </si>
  <si>
    <t xml:space="preserve">Q07</t>
  </si>
  <si>
    <t xml:space="preserve">Status não padronizado</t>
  </si>
  <si>
    <t xml:space="preserve">Grafia "Avaiação de uso" (status fora da lista NDocs); comentário: Não aplicável ao RJ</t>
  </si>
  <si>
    <t xml:space="preserve">NDocs PE_PP!F33</t>
  </si>
  <si>
    <t xml:space="preserve">Padronizado como "Avaliação de uso" → Validar cadastro</t>
  </si>
  <si>
    <t xml:space="preserve">Q08</t>
  </si>
  <si>
    <t xml:space="preserve">Valor "01/06/2031" está como texto, não como data</t>
  </si>
  <si>
    <t xml:space="preserve">NDocs AOL!G5</t>
  </si>
  <si>
    <t xml:space="preserve">Convertida na coluna "Validade (analítica)" (dd/mm/aaaa); origem preservada</t>
  </si>
  <si>
    <t xml:space="preserve">Q09</t>
  </si>
  <si>
    <t xml:space="preserve">Valor "09/06/2031" está como texto, não como data</t>
  </si>
  <si>
    <t xml:space="preserve">NDocs AOL!G25</t>
  </si>
  <si>
    <t xml:space="preserve">Q10</t>
  </si>
  <si>
    <t xml:space="preserve">Erro legado de fórmula</t>
  </si>
  <si>
    <t xml:space="preserve">LPP!F100:F124</t>
  </si>
  <si>
    <t xml:space="preserve">25 fórmulas UPPER() com referência quebrada (erro REF) — origem da referência perdida</t>
  </si>
  <si>
    <t xml:space="preserve">Não corrigido (sem fonte segura); fora dos KPIs de Instruções</t>
  </si>
  <si>
    <t xml:space="preserve">Q11</t>
  </si>
  <si>
    <t xml:space="preserve">AST Geral!E42</t>
  </si>
  <si>
    <t xml:space="preserve">Fórmula UPPER() com referência quebrada (erro REF)</t>
  </si>
  <si>
    <t xml:space="preserve">Q12</t>
  </si>
  <si>
    <t xml:space="preserve">Informativo</t>
  </si>
  <si>
    <t xml:space="preserve">Duplicidade esperada</t>
  </si>
  <si>
    <t xml:space="preserve">Instrução compartilhada entre áreas (área consolidada Q4/AOL)</t>
  </si>
  <si>
    <t xml:space="preserve">Contada uma vez; área consolidada preserva o compartilhamento</t>
  </si>
  <si>
    <t xml:space="preserve">Q13</t>
  </si>
  <si>
    <t xml:space="preserve">Q14</t>
  </si>
  <si>
    <t xml:space="preserve">Divergência cadastral — grafia do responsável</t>
  </si>
  <si>
    <t xml:space="preserve">Ana Claudia Sergio De Oliveira / Ana Claudia Sergio de Oliveira</t>
  </si>
  <si>
    <t xml:space="preserve">Unificado na coluna "Responsável padronizado"</t>
  </si>
  <si>
    <t xml:space="preserve">Q15</t>
  </si>
  <si>
    <t xml:space="preserve">Q16</t>
  </si>
  <si>
    <t xml:space="preserve">Validade vazia (esperado)</t>
  </si>
  <si>
    <t xml:space="preserve">Documento em elaboração ainda sem validade</t>
  </si>
  <si>
    <t xml:space="preserve">NDocs Q4!G16</t>
  </si>
  <si>
    <t xml:space="preserve">Sem impacto: situação "Em tratamento"</t>
  </si>
  <si>
    <t xml:space="preserve">Q17</t>
  </si>
  <si>
    <t xml:space="preserve">Possível erro de digitação</t>
  </si>
  <si>
    <t xml:space="preserve">Título inicia com "ONTROLE DE QUALIDADE…" (provável "CONTROLE")</t>
  </si>
  <si>
    <t xml:space="preserve">NDocs PE_PP!E33</t>
  </si>
  <si>
    <t xml:space="preserve">Não alterado; corrigir na origem</t>
  </si>
  <si>
    <t xml:space="preserve">Q18</t>
  </si>
  <si>
    <t xml:space="preserve">11 registros</t>
  </si>
  <si>
    <t xml:space="preserve">Status com espaço no final (ex.: "Aprovado ")</t>
  </si>
  <si>
    <t xml:space="preserve">NDocs COMUNS, NDocs PE_PP, NDocs Q4</t>
  </si>
  <si>
    <t xml:space="preserve">Removido na coluna "Status padronizado"</t>
  </si>
  <si>
    <t xml:space="preserve">Q19</t>
  </si>
  <si>
    <t xml:space="preserve">1 registro(s)</t>
  </si>
  <si>
    <t xml:space="preserve">"Cancelada" e "Cancelado" coexistem</t>
  </si>
  <si>
    <t xml:space="preserve">NDocs Q4!F29</t>
  </si>
  <si>
    <t xml:space="preserve">Unificado como "Cancelado"</t>
  </si>
  <si>
    <t xml:space="preserve">Q20</t>
  </si>
  <si>
    <t xml:space="preserve">Caractere invisível</t>
  </si>
  <si>
    <t xml:space="preserve">17 registros</t>
  </si>
  <si>
    <t xml:space="preserve">Espaço não separável (NBSP) em Antigo nº / Título / Validade</t>
  </si>
  <si>
    <t xml:space="preserve">NDocs AOL, NDocs Q4</t>
  </si>
  <si>
    <t xml:space="preserve">Tratado na busca e na validade analítica</t>
  </si>
  <si>
    <t xml:space="preserve">Q21</t>
  </si>
  <si>
    <t xml:space="preserve">Normalização de responsável</t>
  </si>
  <si>
    <t xml:space="preserve">Isabel Teixeira Malvar Pinto</t>
  </si>
  <si>
    <t xml:space="preserve">ISABEL TEIXEIRA MALVAR PINTO / Isabel Teixeira Malvar Pinto</t>
  </si>
  <si>
    <t xml:space="preserve">Abas de instrução</t>
  </si>
  <si>
    <t xml:space="preserve">Unificado na camada analítica (PROPER/TRIM); valor original preservado</t>
  </si>
  <si>
    <t xml:space="preserve">Q22</t>
  </si>
  <si>
    <t xml:space="preserve">Q23</t>
  </si>
  <si>
    <t xml:space="preserve">Registro fora do escopo</t>
  </si>
  <si>
    <t xml:space="preserve">BRK-FOR-01-010849-PT</t>
  </si>
  <si>
    <t xml:space="preserve">Tipo "LVS" em aba de Instruções</t>
  </si>
  <si>
    <t xml:space="preserve">NDocs AOL!A21</t>
  </si>
  <si>
    <t xml:space="preserve">Excluído da contagem de Instruções</t>
  </si>
  <si>
    <t xml:space="preserve">Q24</t>
  </si>
  <si>
    <t xml:space="preserve">Erro legado não reproduzido</t>
  </si>
  <si>
    <t xml:space="preserve">MO!H8:H10</t>
  </si>
  <si>
    <t xml:space="preserve">Versão anterior registrava erro VALUE; valores atuais retornam " " (validade vazia)</t>
  </si>
  <si>
    <t xml:space="preserve">MO (Tabela11)</t>
  </si>
  <si>
    <t xml:space="preserve">Sem erro no arquivo recebido; fórmula depende de HOJE()</t>
  </si>
  <si>
    <t xml:space="preserve">Q25</t>
  </si>
  <si>
    <t xml:space="preserve">Abas históricas</t>
  </si>
  <si>
    <t xml:space="preserve">NDocs, NDocs (2), NDocs Salvação</t>
  </si>
  <si>
    <t xml:space="preserve">Cópias de revisões anteriores (ex.: versões 6.0 e validades 2024)</t>
  </si>
  <si>
    <t xml:space="preserve">Preservadas; não usadas nos KPIs</t>
  </si>
  <si>
    <t xml:space="preserve">REGRAS — SITUAÇÃO GERENCIAL, PRIORIDADE E SAÚDE DOCUMENTAL</t>
  </si>
  <si>
    <t xml:space="preserve">Status padronizado = Cancelado ou Fora de Uso. Não penaliza a saúde documental.</t>
  </si>
  <si>
    <t xml:space="preserve">Em tratamento</t>
  </si>
  <si>
    <t xml:space="preserve">Status = Revisão ou Em Elaboração.</t>
  </si>
  <si>
    <t xml:space="preserve">Validar cadastro</t>
  </si>
  <si>
    <t xml:space="preserve">Status diferente de Aprovado (ex.: Não encontrado, Avaliação de uso) ou Aprovado sem validade.</t>
  </si>
  <si>
    <t xml:space="preserve">Ação imediata</t>
  </si>
  <si>
    <t xml:space="preserve">Aprovado com validade anterior à data de referência (vencida e ativa).</t>
  </si>
  <si>
    <t xml:space="preserve">Planejar revisão</t>
  </si>
  <si>
    <t xml:space="preserve">Aprovado com vencimento em até 12 meses da data de referência.</t>
  </si>
  <si>
    <t xml:space="preserve">Aprovado com vencimento após 12 meses.</t>
  </si>
  <si>
    <t xml:space="preserve">1 a 6</t>
  </si>
  <si>
    <t xml:space="preserve">1 vencida ativa · 2 não encontrada · 3 em revisão · 4 em elaboração · 5 vence em até 90 dias · 6 validar cadastro. Dentro da mesma prioridade, a validade mais próxima vem primeiro.</t>
  </si>
  <si>
    <t xml:space="preserve">KPI</t>
  </si>
  <si>
    <t xml:space="preserve">Saúde documental</t>
  </si>
  <si>
    <t xml:space="preserve">(Regular + Planejar revisão) ÷ instruções ativas. Leitura: "de cada 100 instruções em uso, X estão aprovadas e dentro da validade". Qualidade cadastral é medida à parte nesta aba.</t>
  </si>
  <si>
    <t xml:space="preserve">Vencem em 12 meses</t>
  </si>
  <si>
    <t xml:space="preserve">Aprovadas com validade entre a data de referência e a mesma data +12 meses.</t>
  </si>
  <si>
    <t xml:space="preserve">Agenda</t>
  </si>
  <si>
    <t xml:space="preserve">Mesma regra por mês. Mês de concentração = ≥ 2× a média mensal e no mínimo 3 documentos (calculado, sem valor fixo).</t>
  </si>
  <si>
    <t xml:space="preserve">Sem dupla contagem</t>
  </si>
  <si>
    <t xml:space="preserve">Área consolidada = união das áreas do código nas origens (ex.: Q4 + AOL → Q4/AOL). Gráfico e matriz somam o total de códigos. O filtro "Q4" inclui Q4/AOL.</t>
  </si>
  <si>
    <t xml:space="preserve">Normalização</t>
  </si>
  <si>
    <t xml:space="preserve">PROPER(TRIM()) apenas na camada analítica; o nome original fica na coluna I da base.</t>
  </si>
  <si>
    <t xml:space="preserve">Data</t>
  </si>
  <si>
    <t xml:space="preserve">Referência</t>
  </si>
  <si>
    <t xml:space="preserve">Data de referência = HOJE() em '_AUX DASH'!B3 (pode ser fixada para uma reunião).</t>
  </si>
  <si>
    <t xml:space="preserve">Gestão de Instruções do LCQ RJ</t>
  </si>
  <si>
    <t xml:space="preserve">Tipo DOC</t>
  </si>
  <si>
    <t xml:space="preserve">Código Ndocs</t>
  </si>
  <si>
    <t xml:space="preserve">Status </t>
  </si>
  <si>
    <t xml:space="preserve">Responsável </t>
  </si>
  <si>
    <t xml:space="preserve">Instrução </t>
  </si>
  <si>
    <r>
      <rPr>
        <sz val="10"/>
        <color rgb="FF1F2937"/>
        <rFont val="Segoe UI"/>
        <family val="0"/>
        <charset val="1"/>
      </rPr>
      <t xml:space="preserve">SM 5220 D - STANDARD METHODS EXAMINATION OF WATER </t>
    </r>
    <r>
      <rPr>
        <sz val="10"/>
        <color rgb="FF1F2937"/>
        <rFont val="WenQuanYi Zen Hei"/>
        <family val="2"/>
      </rPr>
      <t xml:space="preserve">＆ </t>
    </r>
    <r>
      <rPr>
        <sz val="10"/>
        <color rgb="FF1F2937"/>
        <rFont val="Segoe UI"/>
        <family val="0"/>
        <charset val="1"/>
      </rPr>
      <t xml:space="preserve">WASTEWATER: CHEMICAL OXYGEN DEMAND (COD)</t>
    </r>
  </si>
  <si>
    <t xml:space="preserve">BRK-INS-01-021191-PT </t>
  </si>
  <si>
    <t xml:space="preserve">BRK-INS-01-021158-PT </t>
  </si>
  <si>
    <t xml:space="preserve">BRK-INS-01-016231-PT </t>
  </si>
  <si>
    <t xml:space="preserve">BRK-INS-01-010963-PT </t>
  </si>
  <si>
    <t xml:space="preserve"> IT 5030-00252</t>
  </si>
  <si>
    <t xml:space="preserve">LVS</t>
  </si>
  <si>
    <t xml:space="preserve">FMG 5020-00028</t>
  </si>
  <si>
    <t xml:space="preserve">LISTA DE VERIFICAÇÃO DE SEGURANÇA PARA PERMANÊNCIA NOS SHELTER’S</t>
  </si>
  <si>
    <t xml:space="preserve"> 03/04/2028</t>
  </si>
  <si>
    <t xml:space="preserve">BRK-INS-01-016238-PT </t>
  </si>
  <si>
    <t xml:space="preserve"> IT 5020-00175</t>
  </si>
  <si>
    <t xml:space="preserve">AJUSTE E CALIBRAÇÃO DO ANALISADOR DE OXIGÊNIO DA TELEDYNE DCX RJ</t>
  </si>
  <si>
    <t xml:space="preserve"> IT 5030-00260</t>
  </si>
  <si>
    <t xml:space="preserve">AJUSTES E CALIBRAÇÃO DO ANALISADOR DE UMIDADE PORTÁTIL</t>
  </si>
  <si>
    <t xml:space="preserve">BRK-INS-01-016681-PT </t>
  </si>
  <si>
    <t xml:space="preserve">▤  OUTROS CONTROLES DOCUMENTAIS</t>
  </si>
  <si>
    <t xml:space="preserve">Famílias com estrutura própria — mantidas separadas e NÃO somadas aos indicadores de Instruções</t>
  </si>
  <si>
    <t xml:space="preserve">▤  NDocs FMG e ANX</t>
  </si>
  <si>
    <t xml:space="preserve">⇄  Documentos Transversais</t>
  </si>
  <si>
    <t xml:space="preserve">✎  LPP</t>
  </si>
  <si>
    <t xml:space="preserve">⛑  AST AOL</t>
  </si>
  <si>
    <t xml:space="preserve">registros</t>
  </si>
  <si>
    <t xml:space="preserve">Formulários, anexos e documentos correlatos</t>
  </si>
  <si>
    <t xml:space="preserve">Procedimentos, políticas e documentos corporativos aplicáveis</t>
  </si>
  <si>
    <t xml:space="preserve">Lições Ponto a Ponto</t>
  </si>
  <si>
    <t xml:space="preserve">Análises de Segurança da Tarefa — analisadores em linha</t>
  </si>
  <si>
    <t xml:space="preserve">⛑  AST Geral</t>
  </si>
  <si>
    <t xml:space="preserve">▣  RT's</t>
  </si>
  <si>
    <t xml:space="preserve">⚙  MO</t>
  </si>
  <si>
    <t xml:space="preserve">ℹ  Como ler</t>
  </si>
  <si>
    <t xml:space="preserve">Registros = linhas preenchidas na coluna-chave de cada aba. Erros legados não foram corrigidos por falta de fonte documental segura — detalhes em Qualidade da Base.</t>
  </si>
  <si>
    <t xml:space="preserve">Análises de Segurança da Tarefa — gerais</t>
  </si>
  <si>
    <t xml:space="preserve">Relatórios técnicos</t>
  </si>
  <si>
    <t xml:space="preserve">Manuais de operação de utilidades</t>
  </si>
  <si>
    <t xml:space="preserve">Qualidade da Base  ▸</t>
  </si>
  <si>
    <t xml:space="preserve">Tipo de DOC</t>
  </si>
  <si>
    <t xml:space="preserve">Responsável Aprovador</t>
  </si>
  <si>
    <t xml:space="preserve">Documento principal</t>
  </si>
  <si>
    <t xml:space="preserve">Formulário</t>
  </si>
  <si>
    <t xml:space="preserve">BRK-FOR-01-010845-PT</t>
  </si>
  <si>
    <t xml:space="preserve">FMG 5020-00022</t>
  </si>
  <si>
    <t xml:space="preserve">ACOMPANHAMENTO DE LOTE PE - LCQ PE9</t>
  </si>
  <si>
    <t xml:space="preserve">LVS - LISTA DE VERIFICAÇÃO DE SEGURANÇA PARA PERMANÊNCIA NOS SHELTER’S</t>
  </si>
  <si>
    <t xml:space="preserve">BRK-FOR-01-010898-PT</t>
  </si>
  <si>
    <t xml:space="preserve">FMG 5020-00047</t>
  </si>
  <si>
    <t xml:space="preserve">INSPEÇÂO DA EFICIÊNCIA DAS COIFAS E SISTEMAS DE EXAUSTÃO</t>
  </si>
  <si>
    <t xml:space="preserve">BRK-FOR-01-010908-PT</t>
  </si>
  <si>
    <t xml:space="preserve">FMG 5020-00048</t>
  </si>
  <si>
    <t xml:space="preserve">INSPEÇÃO DA EFICIÊNCIA DAS CAPELAS</t>
  </si>
  <si>
    <t xml:space="preserve">BRK-FOR-01-010921-PT</t>
  </si>
  <si>
    <t xml:space="preserve">FMG 5020-00049</t>
  </si>
  <si>
    <t xml:space="preserve">MEDIÇÕES E MANUTENÇÃO GERAL DE CAPELAS</t>
  </si>
  <si>
    <t xml:space="preserve">BRK-FOR-01-010933-PT</t>
  </si>
  <si>
    <t xml:space="preserve">FMG 5020-00050</t>
  </si>
  <si>
    <t xml:space="preserve">MEDIÇÕES E MANUTENÇÃO GERAL DE COIFAS E SISTEMAS DE EXAUSTÃO</t>
  </si>
  <si>
    <t xml:space="preserve">BRK-FOR-01-012329-PT</t>
  </si>
  <si>
    <t xml:space="preserve">FMG 5020-00629</t>
  </si>
  <si>
    <t xml:space="preserve">CHECK LIST - PARTIDA METALOCENO CROMATÓGRAFOS PE</t>
  </si>
  <si>
    <t xml:space="preserve">BRK-FOR-01-012484-PT</t>
  </si>
  <si>
    <t xml:space="preserve">FMG 5020-00695</t>
  </si>
  <si>
    <t xml:space="preserve">CHECK LIST - TRANSIÇÃO COM TROCA DE COMONÔMERO</t>
  </si>
  <si>
    <t xml:space="preserve">BRK-FOR-01-012676-PT</t>
  </si>
  <si>
    <t xml:space="preserve">FMG 5020-00756</t>
  </si>
  <si>
    <t xml:space="preserve">CONTROLE DE VERIFICACÃO DOS EQUIPAMENTOS</t>
  </si>
  <si>
    <t xml:space="preserve">BRK-FOR-01-012714-PT</t>
  </si>
  <si>
    <t xml:space="preserve">FMG 5020-00764</t>
  </si>
  <si>
    <t xml:space="preserve">FORMULÁRIO DE ACOMPANHAMENTO DE LOTE LCQ PP5</t>
  </si>
  <si>
    <t xml:space="preserve">BRK-FOR-01-012736-PT</t>
  </si>
  <si>
    <t xml:space="preserve">FMG 5020-00777</t>
  </si>
  <si>
    <t xml:space="preserve">CONTROLE DE MATERIAL DE VERIFICAÇÃO PE9-PP5</t>
  </si>
  <si>
    <t xml:space="preserve">BRK-FOR-01-013273-PT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</si>
  <si>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FMG 5020-00962</t>
  </si>
  <si>
    <t xml:space="preserve">FORMULÁRIO DE GESTÃO E INSPEÇÃO DOS CILINDROS DO LCQ DCX</t>
  </si>
  <si>
    <t xml:space="preserve">BRK-FOR-01-013358-PT</t>
  </si>
  <si>
    <t xml:space="preserve">FMG 5020-00985</t>
  </si>
  <si>
    <t xml:space="preserve">CHECK LIST PARA OPERAÇÃO ASSISTIDA - VOA</t>
  </si>
  <si>
    <t xml:space="preserve">BRK-FOR-01-013469-PT</t>
  </si>
  <si>
    <t xml:space="preserve">FMG 5020-01012</t>
  </si>
  <si>
    <t xml:space="preserve">REGISTRO DE ENTREGA DE SILOS PE9 - LCQ RJ</t>
  </si>
  <si>
    <t xml:space="preserve"> 13/09/2031</t>
  </si>
  <si>
    <t xml:space="preserve">BRK-FOR-01-013474-PT</t>
  </si>
  <si>
    <t xml:space="preserve">FMG 5020-01013</t>
  </si>
  <si>
    <t xml:space="preserve">CONTROLE DE ORDENS DE PRODUÇÃO - LCQ PE9</t>
  </si>
  <si>
    <t xml:space="preserve">BRK-FOR-01-013477-PT</t>
  </si>
  <si>
    <t xml:space="preserve">FMG 5020-01014</t>
  </si>
  <si>
    <t xml:space="preserve">REGISTRO DE ENTREGA DE AMOSTRAS - LCQ PP5</t>
  </si>
  <si>
    <t xml:space="preserve">BRK-FOR-01-013720-PT</t>
  </si>
  <si>
    <t xml:space="preserve">FMG 5030-00040</t>
  </si>
  <si>
    <t xml:space="preserve">PLANO DE AJUSTE E CALIBRAÇÃO - LCQ - PE 9 DCX/PP 5 DCX</t>
  </si>
  <si>
    <t xml:space="preserve">BRK-FOR-01-017769-PT</t>
  </si>
  <si>
    <t xml:space="preserve">FMG 5030-01270</t>
  </si>
  <si>
    <t xml:space="preserve">PLANO DE MANUTENÇÃO PREDITIVA PE9-PP5</t>
  </si>
  <si>
    <t xml:space="preserve">BRK-FOR-01-020209-PT</t>
  </si>
  <si>
    <t xml:space="preserve">FMG 5020-00630</t>
  </si>
  <si>
    <t xml:space="preserve">CHECK LIST - PARTIDA LINEAR CROMATÓGRAFOS PE</t>
  </si>
  <si>
    <t xml:space="preserve">BRK-FOR-01-020226-PT</t>
  </si>
  <si>
    <t xml:space="preserve">FMG 5020-00975</t>
  </si>
  <si>
    <t xml:space="preserve">CHECK-LIST DE RECEBIMENTO DE CILINDROS DE INSPETORAS</t>
  </si>
  <si>
    <t xml:space="preserve">BRK-FOR-01-020233-PT</t>
  </si>
  <si>
    <t xml:space="preserve">FMG 5030-00039</t>
  </si>
  <si>
    <t xml:space="preserve">CONTROLE DE VALIDADE DE CALIBRAÇÃO DE EQUIPAMENTOS</t>
  </si>
  <si>
    <t xml:space="preserve">BRK-FOR-01-020742-PT</t>
  </si>
  <si>
    <t xml:space="preserve">CHECK LIST PARA INSPEÇÃO DE SSMA NO LCQ RJ</t>
  </si>
  <si>
    <t xml:space="preserve">BRK-FOR-01-012696-PT</t>
  </si>
  <si>
    <t xml:space="preserve">FMG 6020-01317</t>
  </si>
  <si>
    <t xml:space="preserve">CHECK LIST DE LIBERAÇÃO DA PT COM ATIVIDADES CRÍTICAS A VIDA  
ABERTURA DE EQUIPAMENTOS E LINHAS</t>
  </si>
  <si>
    <t xml:space="preserve">RENATA FURTADO</t>
  </si>
  <si>
    <t xml:space="preserve">Anexo</t>
  </si>
  <si>
    <t xml:space="preserve">BRK-INS-ANX-01-000129-PT</t>
  </si>
  <si>
    <t xml:space="preserve">ANX 5020-00389</t>
  </si>
  <si>
    <t xml:space="preserve">6.0 - ANX 5020-00389 - PLANO DE ROTINA DE ANÁLISES DO LCQ PE9</t>
  </si>
  <si>
    <t xml:space="preserve">BRK-INS-ANX-01-000190-PT </t>
  </si>
  <si>
    <t xml:space="preserve">ANX 5020-00438</t>
  </si>
  <si>
    <t xml:space="preserve">6.0 - ANX 5020-00438 - PLANO DE CONTIGÊNCIA EQUIPAMENTOS PE9-PP5 DCX</t>
  </si>
  <si>
    <t xml:space="preserve">BRK-INS-ANX-01-000193-PT</t>
  </si>
  <si>
    <t xml:space="preserve">ANX 5020-00439</t>
  </si>
  <si>
    <t xml:space="preserve">6.0 - ANX 5020-00439 - CRITÉRIO DE ACEITAÇÃO DOS EQUIPAMENTOS PP5_PE9</t>
  </si>
  <si>
    <t xml:space="preserve">BRK-INS-ANX-01-000132-PT</t>
  </si>
  <si>
    <t xml:space="preserve">ANX 5020-00390</t>
  </si>
  <si>
    <t xml:space="preserve">6.0 - ANX 5020-00390 - PLANO DE ROTINA DE ANÁLISES DO LCQ PP5</t>
  </si>
  <si>
    <t xml:space="preserve">BRK-INS-ANX-01-000547-PT</t>
  </si>
  <si>
    <t xml:space="preserve">ANX 5020-00369</t>
  </si>
  <si>
    <t xml:space="preserve">6.0 - ANX 5020-00369 - PLANO DE CONTINGÊNCIA - OSBL</t>
  </si>
  <si>
    <t xml:space="preserve">BRK-INS-ANX-01-000127-PT</t>
  </si>
  <si>
    <t xml:space="preserve">ANX 5020-00388</t>
  </si>
  <si>
    <t xml:space="preserve">6.0 - ANX 5020-00388 - PLANO DE AJUSTE E CALIBRAÇÃO - QB DCX</t>
  </si>
  <si>
    <t xml:space="preserve">BRK-INS-ANX-01-002562-PT</t>
  </si>
  <si>
    <t xml:space="preserve">BRK-INS-ANX-01-000144-PT
ANX 5020-00414</t>
  </si>
  <si>
    <t xml:space="preserve">6.0 - ANX 5020-00414 - PLANO DE ROTINA DE ANÁLISES DO LCQ Q4 </t>
  </si>
  <si>
    <t xml:space="preserve">BRK-INS-ANX-01-000174-PT</t>
  </si>
  <si>
    <t xml:space="preserve">ANX 5020-00430</t>
  </si>
  <si>
    <t xml:space="preserve">4.0 - ANX 5020-00430 - PLANO DE CONTINGÊNCIA - LCQ Q4</t>
  </si>
  <si>
    <t xml:space="preserve">CANCELADOS</t>
  </si>
  <si>
    <t xml:space="preserve">BRK-FOR-01-012888-PT</t>
  </si>
  <si>
    <t xml:space="preserve">FMG 5020-00839</t>
  </si>
  <si>
    <t xml:space="preserve">ANÁLISE DE BOBINAS</t>
  </si>
  <si>
    <t xml:space="preserve">CANCELADO</t>
  </si>
  <si>
    <t xml:space="preserve">BRK-FOR-01-012897-PT</t>
  </si>
  <si>
    <t xml:space="preserve">FMG 5020-00841</t>
  </si>
  <si>
    <t xml:space="preserve">ANÁLISE DE STRETCH HOOD LCQ PE9/PP5</t>
  </si>
  <si>
    <t xml:space="preserve">BRK-FOR-01-017766-PT</t>
  </si>
  <si>
    <t xml:space="preserve">0.1</t>
  </si>
  <si>
    <t xml:space="preserve">FMG 5030-01269</t>
  </si>
  <si>
    <t xml:space="preserve">EXCLUÍDO</t>
  </si>
  <si>
    <t xml:space="preserve">BRK-FOR-01-020220-PT</t>
  </si>
  <si>
    <t xml:space="preserve">FMG 5020-00840</t>
  </si>
  <si>
    <t xml:space="preserve">ANÁLISE DE STRETCH CAST</t>
  </si>
  <si>
    <t xml:space="preserve">BRK-FOR-01-012956-PT</t>
  </si>
  <si>
    <t xml:space="preserve">FMG 5020-00855</t>
  </si>
  <si>
    <t xml:space="preserve">CHECKLIST PARA BLOQUEIO DOS  GC'S 1-AT1010/1110 FORNOS (LCQ)</t>
  </si>
  <si>
    <t xml:space="preserve">Cancelamento </t>
  </si>
  <si>
    <t xml:space="preserve">BRK-FOR-01-012903-PT</t>
  </si>
  <si>
    <t xml:space="preserve">FMG 5020-00842</t>
  </si>
  <si>
    <t xml:space="preserve">CHECK LIST DE PARADA CROMATÓGRAFOS REAÇÃO POLIETILENO</t>
  </si>
  <si>
    <t xml:space="preserve">BRK-FOR-01-013061-PT</t>
  </si>
  <si>
    <t xml:space="preserve">FMG 5020-00899</t>
  </si>
  <si>
    <t xml:space="preserve">RELATÓRIO DE TURNO DO LCQ Q4/PE9/PP5 - DCX</t>
  </si>
  <si>
    <t xml:space="preserve">Documentos Tranversais Aplicáveis ao LCQ RJ</t>
  </si>
  <si>
    <t xml:space="preserve">Número</t>
  </si>
  <si>
    <t xml:space="preserve">Responsável Aprovador2</t>
  </si>
  <si>
    <t xml:space="preserve">BRK-INS-01-014678-PT </t>
  </si>
  <si>
    <t xml:space="preserve">IT 5020-02302 </t>
  </si>
  <si>
    <t xml:space="preserve">GARANTIA DA CONFIABILIDADE DOS RESULTADOS DE ENSAIOS</t>
  </si>
  <si>
    <t xml:space="preserve">Uilson de almeida campos</t>
  </si>
  <si>
    <t xml:space="preserve">BRK-INS-01-014862-PT</t>
  </si>
  <si>
    <t xml:space="preserve">IT 5020-02364 </t>
  </si>
  <si>
    <t xml:space="preserve">CONTROLE METROLÓGICO DE EQUIPAMENTOS E PADRÕES DOS LCQ'S</t>
  </si>
  <si>
    <t xml:space="preserve">BRK-INS-01-014866-PT </t>
  </si>
  <si>
    <t xml:space="preserve">IT 5020-02365 </t>
  </si>
  <si>
    <t xml:space="preserve">DETERMINAÇÃO DE INCERTEZA DE MEDIÇÃO</t>
  </si>
  <si>
    <t xml:space="preserve">BRK-INS-01-017563-PT</t>
  </si>
  <si>
    <t xml:space="preserve">IT 6020-00839 </t>
  </si>
  <si>
    <t xml:space="preserve">PRODUTOS QUÍMICOS CONTROLADOS PELO MINISTÉRIO DO EXÉRCITO, POLÍCIA FEDERAL E POLÍCIA CIVIL </t>
  </si>
  <si>
    <t xml:space="preserve">BRK-DIR-00-000390-PT </t>
  </si>
  <si>
    <t xml:space="preserve">DE 1100-00001 </t>
  </si>
  <si>
    <t xml:space="preserve">DOCUMETAÇÃO INTERNA</t>
  </si>
  <si>
    <t xml:space="preserve">BRK-INS-01-012329-PT </t>
  </si>
  <si>
    <t xml:space="preserve">IT 5020-01507</t>
  </si>
  <si>
    <t xml:space="preserve">CRITÉRIOS PARA GERAÇÃO E USO DE MATERIAL DE VERIFICAÇÃO</t>
  </si>
  <si>
    <t xml:space="preserve"> BRK-FOR-01-011911-PT</t>
  </si>
  <si>
    <t xml:space="preserve">FMG 5020-00491</t>
  </si>
  <si>
    <t xml:space="preserve">REGISTRO DE MATERIAL DE VERIFICAÇÃO</t>
  </si>
  <si>
    <t xml:space="preserve"> BRK-INS-01-012734-PT </t>
  </si>
  <si>
    <t xml:space="preserve">IT 5020-01640</t>
  </si>
  <si>
    <t xml:space="preserve">AVALIAÇÃO E LIBERAÇÃO DE MATÉRIAS-PRIMAS, INSUMOS E EMBALAGENS</t>
  </si>
  <si>
    <t xml:space="preserve">Procedimento </t>
  </si>
  <si>
    <t xml:space="preserve">BRK-PRO-01-001471-PT</t>
  </si>
  <si>
    <t xml:space="preserve">PR 6010-00002</t>
  </si>
  <si>
    <t xml:space="preserve">TRATAMENTO DE NÃO CONFORMIDADES, DESVIOS E PERDAS</t>
  </si>
  <si>
    <t xml:space="preserve">BRK-PRO-01-001525-PT </t>
  </si>
  <si>
    <t xml:space="preserve">PR 6020-00110</t>
  </si>
  <si>
    <t xml:space="preserve">TRATAMENTO DE NÃO CONFORMIDADES, DESVIOS E PERDAS DE SSMA</t>
  </si>
  <si>
    <t xml:space="preserve"> BRK-INS-01-012871-PT</t>
  </si>
  <si>
    <t xml:space="preserve">IT 3010-00134</t>
  </si>
  <si>
    <t xml:space="preserve">TRATAMENTO DE DESVIOS DE FORNECEDORES</t>
  </si>
  <si>
    <t xml:space="preserve">BRK-INS-ANX-01-000083-PT </t>
  </si>
  <si>
    <t xml:space="preserve">CLASSIFICAÇÃO DO TIPO E SUBTIPO DE PROBLEMAS DE DESVIOS DE FORNECEDORES</t>
  </si>
  <si>
    <t xml:space="preserve">BRK-INS-01-017408-PT </t>
  </si>
  <si>
    <t xml:space="preserve">IT 6020-00507</t>
  </si>
  <si>
    <t xml:space="preserve">INFORMAÇÕES DE PRODUTOS QUÍMICOS - SP</t>
  </si>
  <si>
    <t xml:space="preserve"> Marina muniz rossi</t>
  </si>
  <si>
    <t xml:space="preserve">BRK-INS-01-012782-PT </t>
  </si>
  <si>
    <t xml:space="preserve">IT 3010-00009</t>
  </si>
  <si>
    <t xml:space="preserve">RECEBIMENTO, IDENTIFICAÇÃO, ARMAZENAMENTO E EXPEDIÇÃO DE PRODUTOS QUIMICOS, INSUMOS E EMBALAGENS</t>
  </si>
  <si>
    <t xml:space="preserve">Política</t>
  </si>
  <si>
    <t xml:space="preserve">BRK-POL-00-000318-PT</t>
  </si>
  <si>
    <t xml:space="preserve">PE 6020-00020</t>
  </si>
  <si>
    <t xml:space="preserve">POLÍTICA GLOBAL DE SAÚDE, SEGURANÇA, MEIO AMBIENTE, QUALIDADE E PRODUTIVIDADE</t>
  </si>
  <si>
    <t xml:space="preserve">BRK-INS-01-016855-PT</t>
  </si>
  <si>
    <t xml:space="preserve">IT 6010-00127</t>
  </si>
  <si>
    <t xml:space="preserve">AUDITORIAS DAS CERTIFICAÇÕES DO BRASIL</t>
  </si>
  <si>
    <t xml:space="preserve">BRK-INS-01-010525-PT</t>
  </si>
  <si>
    <t xml:space="preserve">IT 5020-00690</t>
  </si>
  <si>
    <t xml:space="preserve">GUIA PARA CÁLCULO DA INCERTEZA NA PREPARAÇÃO DE PADRÕES</t>
  </si>
  <si>
    <t xml:space="preserve">BRK-INS-01-018910-PT </t>
  </si>
  <si>
    <t xml:space="preserve">IT 5020-00999</t>
  </si>
  <si>
    <t xml:space="preserve">GUIA PARA CÁLCULO DA INCERTEZA NA ANÁLISE CROMATOGRÁFICA</t>
  </si>
  <si>
    <t xml:space="preserve">IT 5020-02365</t>
  </si>
  <si>
    <t xml:space="preserve">DETERMINAÇÃO DA INCERTEZA DE MEDIÇÃO</t>
  </si>
  <si>
    <t xml:space="preserve"> FMG 5020-00732</t>
  </si>
  <si>
    <t xml:space="preserve">FMG 5020-00732</t>
  </si>
  <si>
    <t xml:space="preserve">PLANILHA CALCULO R&amp;R E INCERTEZA</t>
  </si>
  <si>
    <t xml:space="preserve">BRK-ITI-01-005590-PT</t>
  </si>
  <si>
    <t xml:space="preserve">IT 5020-01230</t>
  </si>
  <si>
    <t xml:space="preserve">VALIDAÇÃO E ESTIMATIVA DE INCERTEZA DE MÉTODOS ANALÍTICOS E CALIBRAÇÕES</t>
  </si>
  <si>
    <t xml:space="preserve">BRK-INS-01-012645-PT</t>
  </si>
  <si>
    <t xml:space="preserve">IT 2010-00370</t>
  </si>
  <si>
    <t xml:space="preserve">DESENVOLVIMENTO E ESPECIFICAÇÃO DE MATÉRIA PRIMA UN POLIOLEFINAS</t>
  </si>
  <si>
    <t xml:space="preserve">Fabyano Brito Alves de Oliveira Santos</t>
  </si>
  <si>
    <t xml:space="preserve">BRK-INS-01-018355-PT</t>
  </si>
  <si>
    <t xml:space="preserve">IT 6020-01323</t>
  </si>
  <si>
    <t xml:space="preserve">PROGRAMA DE SSMA VISAO</t>
  </si>
  <si>
    <t xml:space="preserve">BRK-PRO-01-001507-PT </t>
  </si>
  <si>
    <t xml:space="preserve">PR 6020-00080</t>
  </si>
  <si>
    <t xml:space="preserve">IDENTIFICAÇÃO E AVALIAÇÃO DE ASPECTOS E IMPACTOS, PERIGOS E RISCOS - AIPR</t>
  </si>
  <si>
    <t xml:space="preserve">BRK-PRO-ANX-01-000212-PT </t>
  </si>
  <si>
    <t xml:space="preserve">ACESSO AO SISTEMA SAP FIORI</t>
  </si>
  <si>
    <t xml:space="preserve">BRK-PRO-01-001491-PT </t>
  </si>
  <si>
    <t xml:space="preserve">PR 6020-00069</t>
  </si>
  <si>
    <t xml:space="preserve">ANÁLISE E GERENCIAMENTO DE PERIGOS E RISCOS</t>
  </si>
  <si>
    <t xml:space="preserve">BRK-PRO-ANX-01-000199-PT </t>
  </si>
  <si>
    <t xml:space="preserve">ANÁLISE DA SEGURANÇA DA TAREFA (AST)</t>
  </si>
  <si>
    <t xml:space="preserve">BRK-FOR-01-011253-PT </t>
  </si>
  <si>
    <t xml:space="preserve">FMG 6020-00934</t>
  </si>
  <si>
    <t xml:space="preserve">ANÁLISE DE SEGURANÇA DE TAREFAS - AST</t>
  </si>
  <si>
    <t xml:space="preserve">BRK-INS-01-018724-PT</t>
  </si>
  <si>
    <t xml:space="preserve">IT 6020-00238</t>
  </si>
  <si>
    <t xml:space="preserve">GESTÃO DE PRODUTOS QUÍMICOS</t>
  </si>
  <si>
    <t xml:space="preserve">BRK-PRO-01-001495-PT </t>
  </si>
  <si>
    <t xml:space="preserve">PR 6020-00074</t>
  </si>
  <si>
    <t xml:space="preserve">GERENCIAMENTO DE PRODUTOS QUÍMICOS</t>
  </si>
  <si>
    <t xml:space="preserve">BRK-FOR-01-013518-PT </t>
  </si>
  <si>
    <t xml:space="preserve">FMG 6020-01569</t>
  </si>
  <si>
    <t xml:space="preserve">ROTULAGEM PARA PRODUTOS QUIMICOS PERIGOSOS</t>
  </si>
  <si>
    <t xml:space="preserve">BRK-PRO-01-001473-PT</t>
  </si>
  <si>
    <t xml:space="preserve">PR 6010-00007</t>
  </si>
  <si>
    <t xml:space="preserve">BOAS PRÁTICAS DE FABRICAÇÃO</t>
  </si>
  <si>
    <t xml:space="preserve">BRK-PRO-01-001483-PT</t>
  </si>
  <si>
    <t xml:space="preserve">PR 6020–00006 </t>
  </si>
  <si>
    <t xml:space="preserve">REQUISITOS LEGAIS E VOLUNTÁRIOS DE SSMA BRASIL</t>
  </si>
  <si>
    <t xml:space="preserve">BRK-PRO-01-001253-PT</t>
  </si>
  <si>
    <t xml:space="preserve">PR 1100-00002</t>
  </si>
  <si>
    <t xml:space="preserve">GESTÃO DE REGISTROS DE NEGÓCIOS E DO SISTEMA DE GESTÃO INTEGRADO (SGI)</t>
  </si>
  <si>
    <t xml:space="preserve"> BRK-PRO-01-001517-PT</t>
  </si>
  <si>
    <t xml:space="preserve">PR 6020-00098</t>
  </si>
  <si>
    <t xml:space="preserve">PERMISSÃO DE TRABALHO - PT</t>
  </si>
  <si>
    <t xml:space="preserve">BRK-PRO-ANX-01-000182-PT</t>
  </si>
  <si>
    <t xml:space="preserve">ATIVIDADES ISENTAS DE PERMISSÃO DE TRABALHO - LISTA COMPLEMENTAR DC</t>
  </si>
  <si>
    <t xml:space="preserve">BRK-PRO-ANX-01-000228-PT</t>
  </si>
  <si>
    <t xml:space="preserve">TAREFAS ISENTAS DE PT</t>
  </si>
  <si>
    <t xml:space="preserve"> BRK-PRO-01-001499-PT </t>
  </si>
  <si>
    <t xml:space="preserve">PR 6020-00076</t>
  </si>
  <si>
    <t xml:space="preserve">OBSERVAÇÃO DE EXECUÇÃO DA TAREFA (OET)</t>
  </si>
  <si>
    <t xml:space="preserve">BRK-FOR-01-011003-PT</t>
  </si>
  <si>
    <t xml:space="preserve">FMG 1100-00009</t>
  </si>
  <si>
    <t xml:space="preserve">LIÇÃO DE UM PONTO</t>
  </si>
  <si>
    <t xml:space="preserve">BRK-FOR-01-010586-PT</t>
  </si>
  <si>
    <t xml:space="preserve">FMG 1060-00052 </t>
  </si>
  <si>
    <t xml:space="preserve">LISTA DE PRESENÇA (Treinamentos)</t>
  </si>
  <si>
    <t xml:space="preserve">BRK-FOR-01-010902-PT </t>
  </si>
  <si>
    <t xml:space="preserve">FMG 6020-00792</t>
  </si>
  <si>
    <t xml:space="preserve">PADRÃO DE LISTA DE PRESENÇA PARA DSSMA</t>
  </si>
  <si>
    <t xml:space="preserve">BRK-PRO-01-001501-PT</t>
  </si>
  <si>
    <t xml:space="preserve">PR 6020-00077</t>
  </si>
  <si>
    <t xml:space="preserve">GERENCIAMENTO DE MUDANÇAS</t>
  </si>
  <si>
    <t xml:space="preserve"> BRK-FOR-01-011270-PT </t>
  </si>
  <si>
    <t xml:space="preserve">FMG 6020-00939</t>
  </si>
  <si>
    <t xml:space="preserve">PAPEIS E RESPONSABILIDADES - GERENCIAMENTO DE MUDANÇAS</t>
  </si>
  <si>
    <t xml:space="preserve">BRK-FOR-01-010936-PT</t>
  </si>
  <si>
    <t xml:space="preserve">FMG 1080-00106</t>
  </si>
  <si>
    <t xml:space="preserve">LV DE REVISÃO DE SEGURANÇA DE PRÉ-PARTIDA - LISTA DE VERIFICAÇÃO</t>
  </si>
  <si>
    <t xml:space="preserve">BRK-POL-00-000312-PT</t>
  </si>
  <si>
    <t xml:space="preserve">PE 1080-00001</t>
  </si>
  <si>
    <t xml:space="preserve">POLÍTICA DE INVESTIMENTOS</t>
  </si>
  <si>
    <t xml:space="preserve"> BRK-INS-01-011886-PT</t>
  </si>
  <si>
    <t xml:space="preserve">
IT 1080-00082</t>
  </si>
  <si>
    <t xml:space="preserve">EMISSÃO DE ANÁLISE TÉCNICA</t>
  </si>
  <si>
    <t xml:space="preserve"> BRK-INS-01-011822-PT </t>
  </si>
  <si>
    <t xml:space="preserve">IT 1080-00012</t>
  </si>
  <si>
    <t xml:space="preserve">ELABORAÇÃO DO PLANEJAMENTO DE EMPREENDIMENTOS</t>
  </si>
  <si>
    <t xml:space="preserve">Global Stander</t>
  </si>
  <si>
    <t xml:space="preserve">BRK-GST-01-000214-PT </t>
  </si>
  <si>
    <t xml:space="preserve">GS 1080-00003</t>
  </si>
  <si>
    <t xml:space="preserve">SISTEMÁTICA FEL DE IMPLANTAÇÃO DE PROJETOS</t>
  </si>
  <si>
    <t xml:space="preserve">BRK-INS-01-014760-PT</t>
  </si>
  <si>
    <t xml:space="preserve">IT 5010-06888</t>
  </si>
  <si>
    <t xml:space="preserve">GESTÃO DE ALARMES SUPRIMIDOS Q4 E PE9</t>
  </si>
  <si>
    <t xml:space="preserve">BRK-INS-01-013447-PT </t>
  </si>
  <si>
    <t xml:space="preserve">IT 4010-00287</t>
  </si>
  <si>
    <t xml:space="preserve">PADRÃO DE AMOSTRAGEM GASES</t>
  </si>
  <si>
    <t xml:space="preserve">Gestão das LPP do LCQ RJ</t>
  </si>
  <si>
    <t xml:space="preserve">Data Publicação</t>
  </si>
  <si>
    <t xml:space="preserve">Ingrante de Apoio</t>
  </si>
  <si>
    <t xml:space="preserve">LPP- DESCARTE DE RESÍDUOS DO LABORATÓRIO</t>
  </si>
  <si>
    <t xml:space="preserve">MEM 200099843</t>
  </si>
  <si>
    <t xml:space="preserve">10.03.2014</t>
  </si>
  <si>
    <t xml:space="preserve">Cromatografia</t>
  </si>
  <si>
    <t xml:space="preserve">ANA CARLA ARAÚJO COSTA</t>
  </si>
  <si>
    <t xml:space="preserve">CLAUDIO CEZAR DE QUEIROZ</t>
  </si>
  <si>
    <t xml:space="preserve">LPP - CÁLCULO GASOLINA ADH</t>
  </si>
  <si>
    <t xml:space="preserve">MEM 200099844</t>
  </si>
  <si>
    <t xml:space="preserve">10.11.2012</t>
  </si>
  <si>
    <t xml:space="preserve">LPP - EMISSÃO DE CERTIFICADO DE ANÁLISE</t>
  </si>
  <si>
    <t xml:space="preserve">MEM 200099845</t>
  </si>
  <si>
    <t xml:space="preserve">11.05.2013</t>
  </si>
  <si>
    <t xml:space="preserve">LPP - USO DO EQUIPAMENTO DRB 200 </t>
  </si>
  <si>
    <t xml:space="preserve">MEM 200099846</t>
  </si>
  <si>
    <t xml:space="preserve">02.10.2013</t>
  </si>
  <si>
    <t xml:space="preserve">LPP - REVISÃO DAS INSTRUÇÕES DAS ROTINAS DE ÁGUAS E EFLUENTES (DR3900)</t>
  </si>
  <si>
    <t xml:space="preserve">MEM 200099847</t>
  </si>
  <si>
    <t xml:space="preserve">08.04.2013</t>
  </si>
  <si>
    <t xml:space="preserve">LPP- PROCEDIMENTO PARA ANÁLISE NO SISTEMA 15</t>
  </si>
  <si>
    <t xml:space="preserve">MEM 200099944</t>
  </si>
  <si>
    <t xml:space="preserve">08.12.2011</t>
  </si>
  <si>
    <t xml:space="preserve">LPP - INSTRUÇÕES PARA USO DO DESTILADOR D-86</t>
  </si>
  <si>
    <t xml:space="preserve">MEM 200099945</t>
  </si>
  <si>
    <t xml:space="preserve">15.09.2011</t>
  </si>
  <si>
    <t xml:space="preserve">LPP - CALIBRAÇÃO DO MÉTODO DE ÁLCOOIS POR EXTRAÇÃO</t>
  </si>
  <si>
    <t xml:space="preserve">MEM 200099748</t>
  </si>
  <si>
    <t xml:space="preserve">24.10.2011</t>
  </si>
  <si>
    <t xml:space="preserve">LPP - USO DO CAPACETE COM PROTEÇÃO FACIAL PARA TROCA DE CILINDROS</t>
  </si>
  <si>
    <t xml:space="preserve">MEM 200099749</t>
  </si>
  <si>
    <t xml:space="preserve">23.05.2012</t>
  </si>
  <si>
    <t xml:space="preserve">LPP - ANÁLISE DE TNPP POR HPLC</t>
  </si>
  <si>
    <t xml:space="preserve">MEM 200099750</t>
  </si>
  <si>
    <t xml:space="preserve">12.12.2013</t>
  </si>
  <si>
    <t xml:space="preserve">LPP - ANÁLISE DE IRGAFÓS 168 POR HPLC</t>
  </si>
  <si>
    <t xml:space="preserve">MEM 200099751</t>
  </si>
  <si>
    <t xml:space="preserve">22.03.2014</t>
  </si>
  <si>
    <t xml:space="preserve">LPP -TROCA DE MANGOTES</t>
  </si>
  <si>
    <t xml:space="preserve">MEM 200100840</t>
  </si>
  <si>
    <t xml:space="preserve">05.06.2013</t>
  </si>
  <si>
    <t xml:space="preserve">LPP - DESCLASSIFICAÇÃO DE LOTE</t>
  </si>
  <si>
    <t xml:space="preserve">MEM 200099753</t>
  </si>
  <si>
    <t xml:space="preserve">05.07.2012</t>
  </si>
  <si>
    <t xml:space="preserve"> PE9/PP5</t>
  </si>
  <si>
    <t xml:space="preserve">LPP - DU COM DATA RETROATIVA</t>
  </si>
  <si>
    <t xml:space="preserve">MEM 200099754</t>
  </si>
  <si>
    <t xml:space="preserve">LPP - RECLASSIFICAÇÃO DE LOTE</t>
  </si>
  <si>
    <t xml:space="preserve">MEM 200099755</t>
  </si>
  <si>
    <t xml:space="preserve">18.07.2012</t>
  </si>
  <si>
    <t xml:space="preserve">LPP - LOCALIZADOR DE LOTES NA SALA DE AMOSTRAS TESTEMUNHAS</t>
  </si>
  <si>
    <t xml:space="preserve">MEM 200099756</t>
  </si>
  <si>
    <t xml:space="preserve">07.12.2012</t>
  </si>
  <si>
    <t xml:space="preserve">LPP - COMO ACESSAR OS PERFIS DE TEMPERATURA NA EXTRUSORA OCS</t>
  </si>
  <si>
    <t xml:space="preserve">MEM 200099758</t>
  </si>
  <si>
    <t xml:space="preserve">08.07.2015</t>
  </si>
  <si>
    <t xml:space="preserve">LPP - MODIFICAÇÃO DO PROGRAMA NO CONTROLADOR DE TEMPERATURA DA PRENSA</t>
  </si>
  <si>
    <t xml:space="preserve">MEM 200099759</t>
  </si>
  <si>
    <t xml:space="preserve">04.06.2013</t>
  </si>
  <si>
    <t xml:space="preserve">CASSIANA OLIVEIRA FONTOURA</t>
  </si>
  <si>
    <t xml:space="preserve">FERNANDO CHAUD DE SOUZA</t>
  </si>
  <si>
    <t xml:space="preserve">LPP - ANÁLISE DAS BOBINAS</t>
  </si>
  <si>
    <t xml:space="preserve">MEM 200099760</t>
  </si>
  <si>
    <t xml:space="preserve">LPP - ALTERAÇÃO NA PROGRAMAÇÃO DE PESO DOS PLASTÔMETROS DYNISCO DA PP5</t>
  </si>
  <si>
    <t xml:space="preserve">MEM 200099761</t>
  </si>
  <si>
    <t xml:space="preserve">LPP - CALIBRAÇÃO DO RAIO X</t>
  </si>
  <si>
    <t xml:space="preserve">MEM 200099762</t>
  </si>
  <si>
    <t xml:space="preserve">18.06.2013</t>
  </si>
  <si>
    <t xml:space="preserve">LPP - TEOR DE EBO POR FTIR</t>
  </si>
  <si>
    <t xml:space="preserve">MEM 200099763</t>
  </si>
  <si>
    <t xml:space="preserve">LPP - TEOR DE ETENO EM PP POR FTIR</t>
  </si>
  <si>
    <t xml:space="preserve">MEM 200099764</t>
  </si>
  <si>
    <t xml:space="preserve">14.09.2013</t>
  </si>
  <si>
    <t xml:space="preserve">LPP - INICIALIZAÇÃO OPERACIONAL DO LAB SCAN XE E DO SOFTWARE EASYMATCH QC</t>
  </si>
  <si>
    <t xml:space="preserve">MEM 200100042</t>
  </si>
  <si>
    <t xml:space="preserve">13.03.2013</t>
  </si>
  <si>
    <t xml:space="preserve">LPP - AJUSTE DE VERIFICAÇÃO DOS PLASTÔMETROS</t>
  </si>
  <si>
    <t xml:space="preserve">MEM 200100043</t>
  </si>
  <si>
    <t xml:space="preserve">15.10.2013</t>
  </si>
  <si>
    <t xml:space="preserve">LPP - DETERMINAÇÃO DO BRANCO PARA A ANÁLISE DE XO VIA ÚMIDA</t>
  </si>
  <si>
    <t xml:space="preserve">MEM 200100764</t>
  </si>
  <si>
    <t xml:space="preserve">08.06.2014</t>
  </si>
  <si>
    <t xml:space="preserve">LPP - Segurança no Uso de Bicicletas</t>
  </si>
  <si>
    <t xml:space="preserve">MEM 200102617</t>
  </si>
  <si>
    <t xml:space="preserve">Geral</t>
  </si>
  <si>
    <t xml:space="preserve">LPP - TEOR DE SÍLICA POR FTIR</t>
  </si>
  <si>
    <t xml:space="preserve">MEM 200100601</t>
  </si>
  <si>
    <t xml:space="preserve">22.07.2014</t>
  </si>
  <si>
    <t xml:space="preserve">LPP - CONFIGURAÇÃO DO PROGRAMA DA PRENSA</t>
  </si>
  <si>
    <t xml:space="preserve">MEM 200100132</t>
  </si>
  <si>
    <t xml:space="preserve">19.11.2012</t>
  </si>
  <si>
    <t xml:space="preserve">Analisadores</t>
  </si>
  <si>
    <t xml:space="preserve">LPP - INICIAR PROGRAMAÇÃO DA PRENSA</t>
  </si>
  <si>
    <t xml:space="preserve">MEM 200100133</t>
  </si>
  <si>
    <t xml:space="preserve">Analisadors</t>
  </si>
  <si>
    <t xml:space="preserve">LPP - PREPARAÇÃO DE AMOSTRA EM PÓ PARA ANÁLISE NA E XTRUSORA AX PLÁSTICOS</t>
  </si>
  <si>
    <t xml:space="preserve">MEM 200102873</t>
  </si>
  <si>
    <t xml:space="preserve">31.07.2020</t>
  </si>
  <si>
    <t xml:space="preserve"> PE9</t>
  </si>
  <si>
    <t xml:space="preserve">LPP - OPERAÇÃO DA EXTRUSORA AX PLÁSTICOS</t>
  </si>
  <si>
    <t xml:space="preserve">MEM 200102690</t>
  </si>
  <si>
    <t xml:space="preserve">29.05.2020</t>
  </si>
  <si>
    <t xml:space="preserve">LPP - AMOSTRAGEM DE PELLETS PARA FORMAÇÃO DE LOTE</t>
  </si>
  <si>
    <t xml:space="preserve">MEM 200103078</t>
  </si>
  <si>
    <t xml:space="preserve">27.01.2015</t>
  </si>
  <si>
    <t xml:space="preserve"> PP5</t>
  </si>
  <si>
    <t xml:space="preserve">LPP - AMOSTRAGEM DE PELLETS DO SILO</t>
  </si>
  <si>
    <t xml:space="preserve">MEM 200103079</t>
  </si>
  <si>
    <t xml:space="preserve">LPP - ELETRODOS DE PH PARA ÁGUA DE ALTA PUREZA KNICK</t>
  </si>
  <si>
    <t xml:space="preserve">MEM 200103389</t>
  </si>
  <si>
    <t xml:space="preserve">09.03.2015</t>
  </si>
  <si>
    <t xml:space="preserve">LPP - OPERAÇÃO DO DENSÍMETRO DIGITAL </t>
  </si>
  <si>
    <t xml:space="preserve">MEM 200103940</t>
  </si>
  <si>
    <t xml:space="preserve">24.03.2015</t>
  </si>
  <si>
    <t xml:space="preserve"> PP4</t>
  </si>
  <si>
    <t xml:space="preserve">LPP - TRANSPORTE E UTILIZAÇÃO DE MACROSERINGAS</t>
  </si>
  <si>
    <t xml:space="preserve">MEM 200104051</t>
  </si>
  <si>
    <t xml:space="preserve">11.05.2015</t>
  </si>
  <si>
    <t xml:space="preserve">LPP - ZERANDO O SENSOR DO PLASTÔMETRO DE PP (DYNISCO)</t>
  </si>
  <si>
    <t xml:space="preserve">MEM 200104957</t>
  </si>
  <si>
    <t xml:space="preserve">09.07.2015</t>
  </si>
  <si>
    <t xml:space="preserve">LPP - RECEBIMENTO DE AMOSTRAS DE ENSAQUE PE9 </t>
  </si>
  <si>
    <t xml:space="preserve">MEM 200104958</t>
  </si>
  <si>
    <t xml:space="preserve"> PE9/PP4</t>
  </si>
  <si>
    <t xml:space="preserve">LPP - NOVO EXTRATOR DE ÓLEOS E GRAXAS (SOXHLET) – MODELO 491/6</t>
  </si>
  <si>
    <t xml:space="preserve">MEM 200104284</t>
  </si>
  <si>
    <t xml:space="preserve">02.07.2015</t>
  </si>
  <si>
    <t xml:space="preserve">LPP - UTILIZAÇÃO DE SERINGA PARA ANÁLISE DE ÁLCOOIS POR EXTRAÇÃO</t>
  </si>
  <si>
    <t xml:space="preserve">MEM 200104802</t>
  </si>
  <si>
    <t xml:space="preserve">12.09.2015</t>
  </si>
  <si>
    <t xml:space="preserve">LPP - IDENTIFICAÇÃO DE PROBLEMA NA COLUNA PARA ANÁLISE DE ÁLCOOIS POR EXTRAÇÃO (S10)</t>
  </si>
  <si>
    <t xml:space="preserve">MEM 200105246</t>
  </si>
  <si>
    <t xml:space="preserve">LPP - ANÁLISE DE NAOH E NA2CO3 VIA TITRANDO 905</t>
  </si>
  <si>
    <t xml:space="preserve">MEM 200105500</t>
  </si>
  <si>
    <t xml:space="preserve">27.10.2015</t>
  </si>
  <si>
    <t xml:space="preserve">LPP - ANÁLISE DE SULFURADOS VIA VARIAN SIEVERS</t>
  </si>
  <si>
    <t xml:space="preserve">MEM 200105501</t>
  </si>
  <si>
    <t xml:space="preserve">LPP - CONCENTRAÇÃO DE DONOR C</t>
  </si>
  <si>
    <t xml:space="preserve">MEM 200105670</t>
  </si>
  <si>
    <t xml:space="preserve">LPP - CONFERÊNCIA DE AMOSTRAS DO ENSAQUE</t>
  </si>
  <si>
    <t xml:space="preserve">MEM 200105727</t>
  </si>
  <si>
    <t xml:space="preserve">19.11.2015</t>
  </si>
  <si>
    <t xml:space="preserve">PE9</t>
  </si>
  <si>
    <t xml:space="preserve">LPP - CRITÉRIOS PARA RECEBIMENTO DE AMOSTRAS DO PROCESSO PE9</t>
  </si>
  <si>
    <t xml:space="preserve">MEM 200106342</t>
  </si>
  <si>
    <t xml:space="preserve">02.12.2015</t>
  </si>
  <si>
    <t xml:space="preserve">LPP - ANÁLISE DE ÍNDICE DE FLUIDEZ COM MATRIZ II</t>
  </si>
  <si>
    <t xml:space="preserve">MEM 200106270</t>
  </si>
  <si>
    <t xml:space="preserve">22.12.2015</t>
  </si>
  <si>
    <t xml:space="preserve">PP4</t>
  </si>
  <si>
    <t xml:space="preserve">LPP - UTILIZAÇÃO DO CAPEADOR ELETRÔNICO</t>
  </si>
  <si>
    <t xml:space="preserve">MEM 200106271</t>
  </si>
  <si>
    <t xml:space="preserve">LPP - LIMPEZA DOS FRASCOS DE COLETA DE AMOSTRAS DE RESINAS DE PP</t>
  </si>
  <si>
    <t xml:space="preserve">MEM 200105528</t>
  </si>
  <si>
    <t xml:space="preserve">25.09.2015</t>
  </si>
  <si>
    <t xml:space="preserve">LPP - PREPARO DE AMOSTRA PARA DQO EM FRASCO REAGENTE MN (FAIXA 1000 – 15000 MG/L O2)</t>
  </si>
  <si>
    <t xml:space="preserve">MEM 200107729</t>
  </si>
  <si>
    <t xml:space="preserve">25.04.2016</t>
  </si>
  <si>
    <t xml:space="preserve">LPP - RECEBIMENTO DE CILINDROS DE AMOSTRAGEM</t>
  </si>
  <si>
    <t xml:space="preserve">MEM 200107846</t>
  </si>
  <si>
    <t xml:space="preserve">31.05.2016</t>
  </si>
  <si>
    <t xml:space="preserve">Comum</t>
  </si>
  <si>
    <t xml:space="preserve">LPP - RECEBIMENTO DE CILINDROS INSPETORAS</t>
  </si>
  <si>
    <t xml:space="preserve">MEM 200107847 </t>
  </si>
  <si>
    <t xml:space="preserve">LPP - CONFIGURAÇÃO DO ESPECTROFOTÔMETRO MN PARA ENSAIO DE DQO</t>
  </si>
  <si>
    <t xml:space="preserve">MEM 200106119</t>
  </si>
  <si>
    <t xml:space="preserve">10.02.2016</t>
  </si>
  <si>
    <t xml:space="preserve">LPP - CONFIGURAÇÃO DO BLOCO DIGESTOR (REATOR) MN PARA ENSAIO DE DQO</t>
  </si>
  <si>
    <t xml:space="preserve">MEM 200106539</t>
  </si>
  <si>
    <t xml:space="preserve">07.02.2016</t>
  </si>
  <si>
    <t xml:space="preserve">LPP - PREPARO DE AMOSTRA PARA DQO EM FRASCO REAGENTE MN</t>
  </si>
  <si>
    <t xml:space="preserve">MEM 200106308</t>
  </si>
  <si>
    <t xml:space="preserve">05.02.2016</t>
  </si>
  <si>
    <t xml:space="preserve">LPP - UTILIZAÇÃO DO MEDIDOR DE FLUXO PRO-FLOW (RESTEK)</t>
  </si>
  <si>
    <t xml:space="preserve">MEM 200108232</t>
  </si>
  <si>
    <t xml:space="preserve">06.06.2016</t>
  </si>
  <si>
    <t xml:space="preserve">LPP - UTILIZAÇÃO DO REFLUXO EM SISTEMA ABERTO (ENSAIO DE ÓLEOS E GRAXAS)</t>
  </si>
  <si>
    <t xml:space="preserve">MEM 200108037</t>
  </si>
  <si>
    <t xml:space="preserve">24.06.2016</t>
  </si>
  <si>
    <t xml:space="preserve">LPP - CALIBRAÇÃO DO CG VARIAN UTILIZANDO CÂMARA DE CALIBRAÇÃO VICI (DYNA CALIBRATOR)</t>
  </si>
  <si>
    <t xml:space="preserve">MEM 200108040</t>
  </si>
  <si>
    <t xml:space="preserve">28.06.2016</t>
  </si>
  <si>
    <t xml:space="preserve">LPP - CALIBRAÇÃO DO CG VARIAN UTILIZANDO PADRÕES GASOSOS</t>
  </si>
  <si>
    <t xml:space="preserve">MEM 200107856</t>
  </si>
  <si>
    <t xml:space="preserve">07.07.2016</t>
  </si>
  <si>
    <t xml:space="preserve"> LPP - CALIBRAÇÃO DO CG VARIAN UTILIZANDO PADRÕES DE PERMEAÇÃO</t>
  </si>
  <si>
    <t xml:space="preserve">MEM 200108171</t>
  </si>
  <si>
    <t xml:space="preserve">12.07.2016</t>
  </si>
  <si>
    <t xml:space="preserve">LPP - UTILIZAÇÃO DE BANHO TERMOSTÁTICO COM REFLUXO</t>
  </si>
  <si>
    <t xml:space="preserve">MEM 200108194</t>
  </si>
  <si>
    <t xml:space="preserve">16.08.2016</t>
  </si>
  <si>
    <t xml:space="preserve">LPP - LIMPEZA DOS PLASTÔMETROS </t>
  </si>
  <si>
    <t xml:space="preserve">MEM 200107832 </t>
  </si>
  <si>
    <t xml:space="preserve">01.06.2016</t>
  </si>
  <si>
    <t xml:space="preserve">LPP -  ANÁLISES DE CINZAS DE PE E PP COM USO DE FORNO MICROONDAS </t>
  </si>
  <si>
    <t xml:space="preserve">MEM 200108131</t>
  </si>
  <si>
    <t xml:space="preserve">24.05.2016</t>
  </si>
  <si>
    <t xml:space="preserve">LPP - ANÁLISE DE HEAD SPACE SEM O MOSTRADOR AUTOMÁTICO</t>
  </si>
  <si>
    <t xml:space="preserve">MEM 200108196</t>
  </si>
  <si>
    <t xml:space="preserve">25.08.2016</t>
  </si>
  <si>
    <t xml:space="preserve">LPP - CONSULTA DE FISPQ DE PRODUTOS ADQUIRIDOS E PRODUZIDOS PELA BRASKEM</t>
  </si>
  <si>
    <t xml:space="preserve">MEM 200108257</t>
  </si>
  <si>
    <t xml:space="preserve">03.06.2016</t>
  </si>
  <si>
    <t xml:space="preserve">Transversal</t>
  </si>
  <si>
    <t xml:space="preserve">LPP - AMOSTRAGEM DO REATOR PARA FORMAÇÃO DE LOTE</t>
  </si>
  <si>
    <t xml:space="preserve">MEM 200108280 </t>
  </si>
  <si>
    <t xml:space="preserve">05.09.2016</t>
  </si>
  <si>
    <t xml:space="preserve">LPP - Análise Carbono Orgânico Total</t>
  </si>
  <si>
    <t xml:space="preserve">MEM 200107650</t>
  </si>
  <si>
    <t xml:space="preserve">LPP - AMOSTRAGEM DE VAPOR DE DESCONTAMINAÇÃO DURANTE PGM</t>
  </si>
  <si>
    <t xml:space="preserve">MEM 200111655</t>
  </si>
  <si>
    <t xml:space="preserve">23.07.2017</t>
  </si>
  <si>
    <t xml:space="preserve">Parada</t>
  </si>
  <si>
    <t xml:space="preserve">LPP - ANÁLISE DE VOCs EM VAPOR DE DESCONTAMINAÇÃO DURANTE PGM</t>
  </si>
  <si>
    <t xml:space="preserve">MEM 200111557</t>
  </si>
  <si>
    <t xml:space="preserve">LPP - SISTEMÁTICA PARA ANÁLISE DE VOC’S EM VAPOR DE DESCONTAMINAÇÃO DURANTE PGM</t>
  </si>
  <si>
    <t xml:space="preserve">MEM 200111758</t>
  </si>
  <si>
    <t xml:space="preserve">LPP - CLASSIFICAÇÃO DE PRODUTO OFF SPEC</t>
  </si>
  <si>
    <t xml:space="preserve">MEM 200111559 </t>
  </si>
  <si>
    <t xml:space="preserve">07.08.2017</t>
  </si>
  <si>
    <t xml:space="preserve">PE8</t>
  </si>
  <si>
    <t xml:space="preserve">LPP - Análise de Solúveis em Xileno por Extração</t>
  </si>
  <si>
    <t xml:space="preserve">MEM 200100765</t>
  </si>
  <si>
    <t xml:space="preserve">LPP - UTILIZAÇÃO E ESTOCAGEM DE MATERIAIS PARA PURGA NA EXTRUSORA DE BANCADA</t>
  </si>
  <si>
    <t xml:space="preserve">MEM 200112733</t>
  </si>
  <si>
    <t xml:space="preserve">PE9/PP4</t>
  </si>
  <si>
    <t xml:space="preserve">LPP - ANÁLISE DE SOLÚVEIS EM XILENO VIA ÚMIDA UTILIZANDO A MANTA DE AQUECIMENTO</t>
  </si>
  <si>
    <t xml:space="preserve">MEM 200112536</t>
  </si>
  <si>
    <t xml:space="preserve">LPP - LIBERAÇÃO DE MATÉRIAS-PRIMAS E INSUMOS</t>
  </si>
  <si>
    <t xml:space="preserve">MEM 200112739</t>
  </si>
  <si>
    <t xml:space="preserve">PE9/PP5</t>
  </si>
  <si>
    <t xml:space="preserve">LPP - LIBERAÇÃO DE EMBALAGENS</t>
  </si>
  <si>
    <t xml:space="preserve">MEM 200112738</t>
  </si>
  <si>
    <t xml:space="preserve">LPP - SEGREGAÇÃO E IDENTIFICAÇÃO DE SUBPRODUTOS PP5/PE9</t>
  </si>
  <si>
    <t xml:space="preserve">MEM 200112832</t>
  </si>
  <si>
    <t xml:space="preserve">LPP - VERIFICAÇÃO FRX- S2</t>
  </si>
  <si>
    <t xml:space="preserve">MEM 200113033</t>
  </si>
  <si>
    <t xml:space="preserve">LPP - AJUSTE LINHA DE BASE ANTEK</t>
  </si>
  <si>
    <t xml:space="preserve">MEM 200113249</t>
  </si>
  <si>
    <t xml:space="preserve">Q3</t>
  </si>
  <si>
    <t xml:space="preserve">LPP - COMUTAÇÃO DOS CILINDROS DA NOVA CENTRAL DE GASES SWAGELOK</t>
  </si>
  <si>
    <t xml:space="preserve">MEM 200116039</t>
  </si>
  <si>
    <t xml:space="preserve">LPP - OPERAÇÃO DO REÔMETRO</t>
  </si>
  <si>
    <t xml:space="preserve">MEM 200117230 </t>
  </si>
  <si>
    <t xml:space="preserve">LPP - Avaliação de Pellets em Polietileno – COR OFF</t>
  </si>
  <si>
    <t xml:space="preserve">MEM 200116326</t>
  </si>
  <si>
    <t xml:space="preserve">23,05.2019</t>
  </si>
  <si>
    <t xml:space="preserve">LPP - Limpeza-Purga Extrusora OCS</t>
  </si>
  <si>
    <t xml:space="preserve">MEM 200116524</t>
  </si>
  <si>
    <t xml:space="preserve">Obsoleta</t>
  </si>
  <si>
    <t xml:space="preserve">LPP -Alinhamento Agua Prensa-Chiller</t>
  </si>
  <si>
    <t xml:space="preserve">MEM 200116626</t>
  </si>
  <si>
    <t xml:space="preserve">LPP-Preparação da Amostra para PI</t>
  </si>
  <si>
    <t xml:space="preserve">MEM 200119124</t>
  </si>
  <si>
    <t xml:space="preserve">LPP - PROCEDIMENTO DE COLETA DA AMOSTRA S-4-9303</t>
  </si>
  <si>
    <t xml:space="preserve">MEM 200121343</t>
  </si>
  <si>
    <t xml:space="preserve">LPP - COMUNICAÇÃO DOS TRANSDUTORES NO ALINHAMENTO DE CILINDROS CROMATOGRAFIA</t>
  </si>
  <si>
    <t xml:space="preserve">MEM 200121624</t>
  </si>
  <si>
    <t xml:space="preserve">LPP - REALIZAR ANÁLISE DA AMOSTRA DA REDUC VIA AT-45001-B</t>
  </si>
  <si>
    <t xml:space="preserve">MEM 200121931</t>
  </si>
  <si>
    <t xml:space="preserve">LPP - OPERAÇÃO REFRACTO 30GS</t>
  </si>
  <si>
    <t xml:space="preserve">MEM 200122923</t>
  </si>
  <si>
    <t xml:space="preserve">LPP - EXTRAÇÃO DE DADOS VIA VECTOR GRAB</t>
  </si>
  <si>
    <t xml:space="preserve">LPP169</t>
  </si>
  <si>
    <t xml:space="preserve">PE9/LCQ IND RJ</t>
  </si>
  <si>
    <t xml:space="preserve">LPP - OPERAÇÃO DA EXTRUSORA BRABENDER PARA IF DO C-4301</t>
  </si>
  <si>
    <t xml:space="preserve">LPP224</t>
  </si>
  <si>
    <t xml:space="preserve">LPP - SEGREGAÇÃO E DESCARTE DE REAGENTE VENCIDOS E PRODUTOS CONTROLADOS</t>
  </si>
  <si>
    <t xml:space="preserve">LPP343</t>
  </si>
  <si>
    <t xml:space="preserve">Q4/PE9/PP5/AOL</t>
  </si>
  <si>
    <t xml:space="preserve">LPP - RECEPÇÃO, INSPEÇÃO E TROCA DE CILINDROS NA CENTRAL DE GASES</t>
  </si>
  <si>
    <t xml:space="preserve">LPP318</t>
  </si>
  <si>
    <t xml:space="preserve">LPP - ALINHAMENTO DOS ANALISADORES DA PURIFICAÇÃO DE ETENO</t>
  </si>
  <si>
    <t xml:space="preserve">LPP428</t>
  </si>
  <si>
    <t xml:space="preserve">JOSSENICE VIEIRA DOS SANTOS</t>
  </si>
  <si>
    <t xml:space="preserve">LPP - AVALIAÇÃO DA RUGOSIDADE NO GRADE HD4601U</t>
  </si>
  <si>
    <t xml:space="preserve">MEM 200115930</t>
  </si>
  <si>
    <t xml:space="preserve">IARA SOUZA COSTA</t>
  </si>
  <si>
    <t xml:space="preserve">Versão 01</t>
  </si>
  <si>
    <t xml:space="preserve">LPP- Injeção de amostra liquefeita utilizando vaporizadora</t>
  </si>
  <si>
    <t xml:space="preserve">LPP569</t>
  </si>
  <si>
    <t xml:space="preserve">LOUISE GUIMARÃES DA FONSECA</t>
  </si>
  <si>
    <t xml:space="preserve">LPP - Extração de Dados Via Vector Grab</t>
  </si>
  <si>
    <t xml:space="preserve">LPP - Operação da Extrusora Brabender para IF do C-4301</t>
  </si>
  <si>
    <t xml:space="preserve">27/08/2021</t>
  </si>
  <si>
    <t xml:space="preserve">PE9/P5</t>
  </si>
  <si>
    <t xml:space="preserve">LPP - Recebimento de Reagentes Químicos do Almoxarifado</t>
  </si>
  <si>
    <t xml:space="preserve">LPP321</t>
  </si>
  <si>
    <t xml:space="preserve">LCQ IND RJ</t>
  </si>
  <si>
    <t xml:space="preserve">LPP - Solicitação de Gases Especiais Q4/PE9/PP5 Bancada e AOL  (via Coupa)</t>
  </si>
  <si>
    <t xml:space="preserve">LPP322</t>
  </si>
  <si>
    <t xml:space="preserve">LPP - Homogeinização de Pó via Moinho</t>
  </si>
  <si>
    <t xml:space="preserve">LPP329</t>
  </si>
  <si>
    <t xml:space="preserve">27/01/2022</t>
  </si>
  <si>
    <t xml:space="preserve">LPP - Melhores Práticas no Sistema de Amostragem Primário – Reator PP5</t>
  </si>
  <si>
    <t xml:space="preserve">LPP331</t>
  </si>
  <si>
    <t xml:space="preserve">LPP - Principais Manobras Operacionais – THC PE09</t>
  </si>
  <si>
    <t xml:space="preserve">LPP332</t>
  </si>
  <si>
    <t xml:space="preserve">LPP - Utilização dos Carros Elétricos do LCQ</t>
  </si>
  <si>
    <t xml:space="preserve">LPP333</t>
  </si>
  <si>
    <t xml:space="preserve">LPP - Segregação e Descarte de Reagente Vencidos e Produtos Controlados</t>
  </si>
  <si>
    <t xml:space="preserve">LPP - ABERTURA DE NOTA Y1 PARA OS ANALISADORES VIRTUAIS (VOAS) </t>
  </si>
  <si>
    <t xml:space="preserve">LPP415</t>
  </si>
  <si>
    <t xml:space="preserve">27/05/2022</t>
  </si>
  <si>
    <t xml:space="preserve">LPP - Alinhamento dos Analisadores da Purificação de Eteno</t>
  </si>
  <si>
    <t xml:space="preserve">LPP - Consulta de Resultados do LCQ (LIMS) via SAGI </t>
  </si>
  <si>
    <t xml:space="preserve">LPP513</t>
  </si>
  <si>
    <t xml:space="preserve">Melhoria no Preparo da Amostra para Análise </t>
  </si>
  <si>
    <t xml:space="preserve">LPP572</t>
  </si>
  <si>
    <t xml:space="preserve">Recebimento de Amostras no LIMS </t>
  </si>
  <si>
    <t xml:space="preserve">LPP611</t>
  </si>
  <si>
    <t xml:space="preserve">25/01/2023</t>
  </si>
  <si>
    <t xml:space="preserve">LCQ RJ</t>
  </si>
  <si>
    <t xml:space="preserve">LPP - Recebimento de Cilindros de Amostragem</t>
  </si>
  <si>
    <t xml:space="preserve">LPP631</t>
  </si>
  <si>
    <t xml:space="preserve">27/02/2023</t>
  </si>
  <si>
    <t xml:space="preserve">LPP - Sistemática de Identificação e Entrega de Amostras</t>
  </si>
  <si>
    <t xml:space="preserve">LPP632</t>
  </si>
  <si>
    <t xml:space="preserve">28/02/2023</t>
  </si>
  <si>
    <t xml:space="preserve">LPP - Instruções para Consulta de Documentos no LIMS</t>
  </si>
  <si>
    <t xml:space="preserve">LPP646</t>
  </si>
  <si>
    <t xml:space="preserve">LPP - Solicitação de acesso a perfil no SAGI</t>
  </si>
  <si>
    <t xml:space="preserve">LPP636</t>
  </si>
  <si>
    <t xml:space="preserve">LPP - Teor de Eteno no FTIR RJ08-8-AI-149</t>
  </si>
  <si>
    <t xml:space="preserve">LPP725</t>
  </si>
  <si>
    <t xml:space="preserve">LPP- Preparo e Análise de Amostra para Ensaio de Fosfito Ativo em Polietileno</t>
  </si>
  <si>
    <t xml:space="preserve">LPP777</t>
  </si>
  <si>
    <t xml:space="preserve">LPP- Inspeção das Condições Básicas  e Manutenção dos Cilindros de Amostragem </t>
  </si>
  <si>
    <t xml:space="preserve">MEM 200121127</t>
  </si>
  <si>
    <t xml:space="preserve">LPP - Homogeneização de Resinas Produzidas com Catalizador K-110 para Análise de índice de Fluidez.</t>
  </si>
  <si>
    <t xml:space="preserve">LPP1190</t>
  </si>
  <si>
    <t xml:space="preserve">LPP-Limpeza-Purga Extrusora OCS</t>
  </si>
  <si>
    <t xml:space="preserve">LPP1208</t>
  </si>
  <si>
    <t xml:space="preserve">Revisão formato - Antiga MEM 200116524</t>
  </si>
  <si>
    <t xml:space="preserve">AST - Analítica - 001 -Cromatógrafos QB Rev. 6</t>
  </si>
  <si>
    <t xml:space="preserve">MAICO PETRY</t>
  </si>
  <si>
    <t xml:space="preserve">PAULO HENRIQUE</t>
  </si>
  <si>
    <t xml:space="preserve">AST - Analítica - 002 -Cromatografos PE + SAM + Mandrilhar</t>
  </si>
  <si>
    <t xml:space="preserve">AST - Analítica - 003 - Cromatógrafo 4005 SAM</t>
  </si>
  <si>
    <t xml:space="preserve">AST - Analítica - 004 - Cromatógrafo Instalar novo</t>
  </si>
  <si>
    <t xml:space="preserve">AST - Analítica - 010 - Detectores todos</t>
  </si>
  <si>
    <t xml:space="preserve">AST - Analitica - 011 - Fire&amp;Gás  (LCQ) + escada</t>
  </si>
  <si>
    <t xml:space="preserve">AST - Analitica - 012 - Fire&amp;Gás  (Detetor de gás, FUV e Dilúvio)+ plat elevatória ou escada</t>
  </si>
  <si>
    <t xml:space="preserve">AST - Analitica - 013 - Fire&amp;Gás  (Detetor de gás, FUV e Dilúvio)</t>
  </si>
  <si>
    <t xml:space="preserve">AST - Analitica - 020 - Shelter - Realizar reset, upgrade e downgrade</t>
  </si>
  <si>
    <t xml:space="preserve">AST - Analítica - 021 - Caixa de ligação JB avertura</t>
  </si>
  <si>
    <t xml:space="preserve">AST - Analítica - 022 - Shelter - N2 no AI + ar sintético</t>
  </si>
  <si>
    <t xml:space="preserve">AST - Analítica - 023 - Shelter - Fare&amp;Gas e Suprimentos</t>
  </si>
  <si>
    <t xml:space="preserve">AST - Analítica - 024 - Shelter - Skid Shelter 2_Swagelok</t>
  </si>
  <si>
    <t xml:space="preserve">AST - Analítica - 030 -Forno PY-GAS Manutenção e Limpeza</t>
  </si>
  <si>
    <t xml:space="preserve">AST - Analítica - 031 - Forno PY-GAS substituíção</t>
  </si>
  <si>
    <t xml:space="preserve">AST - Analítica - 032 - Forno Combustão CO e O2</t>
  </si>
  <si>
    <t xml:space="preserve">AST - Analítica - 032 - Fornos Combustão CO e O2 </t>
  </si>
  <si>
    <t xml:space="preserve">AST - Analitica - 034 - Oxigenio da Caldeira_Manutenção Sonda</t>
  </si>
  <si>
    <t xml:space="preserve">AST - Analítica - 035 - Oxigenio Soda Gasta</t>
  </si>
  <si>
    <t xml:space="preserve">AST - Analítica - 036 - PE Oxigênio Hopper (Servomex)</t>
  </si>
  <si>
    <t xml:space="preserve">AST - Analítica - 036 -PE Oxigênio Hopper (Servomex)</t>
  </si>
  <si>
    <t xml:space="preserve">AST - Analítica - 037 - Woobe Index</t>
  </si>
  <si>
    <t xml:space="preserve">AST - Analítica - 040 - Todos pH, cond, turb, silíca e TOC</t>
  </si>
  <si>
    <t xml:space="preserve">AST - Analitica - 060 - Umidade Todos - Manutenção Geral</t>
  </si>
  <si>
    <t xml:space="preserve">AST - Analitica - 061 - Umidade - Desobstrução</t>
  </si>
  <si>
    <t xml:space="preserve">AST - Analítica - 090 - Umidade OSBL</t>
  </si>
  <si>
    <t xml:space="preserve">AST - Analítica - 091 -Cilindros Descarregar e instalar Shelter e LCQ</t>
  </si>
  <si>
    <t xml:space="preserve">AST - Analítica - 092 - Condutivímetro Desmi +Toroidal Ácido Soda</t>
  </si>
  <si>
    <t xml:space="preserve">AST - Analitica - 093 - Silicômetro - Manutenção Geral</t>
  </si>
  <si>
    <t xml:space="preserve">AST - Analítica - 095 - SAM Manutenção com uso de furadeira</t>
  </si>
  <si>
    <t xml:space="preserve">04/03/2022</t>
  </si>
  <si>
    <t xml:space="preserve">AST - Analitica - 100 -Coifas e Capelas  (LCQ)</t>
  </si>
  <si>
    <t xml:space="preserve">AST - Analitica - 101 -Forno Micro Ondas (LCQ)</t>
  </si>
  <si>
    <t xml:space="preserve">AST - Analitica - 102 - LCQ Extrusora, Prensa, Cliller e Plastômeros</t>
  </si>
  <si>
    <t xml:space="preserve">AST - Analítica - 103- LCQ Movimentar Equipamento</t>
  </si>
  <si>
    <t xml:space="preserve">AST - Analítica - 104 - Reômetro PP5</t>
  </si>
  <si>
    <t xml:space="preserve">Gestão das AST Geral</t>
  </si>
  <si>
    <t xml:space="preserve">AST - 01 - Geral - Manuseio de Vidrarias de Laboratório (Inspeção, Limpeza, acondicionamento)</t>
  </si>
  <si>
    <t xml:space="preserve">AST - 01 - QB - Troca de Cilindros de Gases</t>
  </si>
  <si>
    <t xml:space="preserve">AST - 01 - RS -Determinação de Indíce de Fluidez PE9_PP5</t>
  </si>
  <si>
    <t xml:space="preserve">AST - 02 - Geral - Avaliação Capelas e Coifas de Exaustão do LCQ</t>
  </si>
  <si>
    <t xml:space="preserve">AST - 02 - QB - Determinação de pH em Soluções Aquosas </t>
  </si>
  <si>
    <t xml:space="preserve"> 19/06/2020</t>
  </si>
  <si>
    <t xml:space="preserve">AST - 02- RS - Preparação de Placas de Moldagem</t>
  </si>
  <si>
    <t xml:space="preserve">AST - 03 - Geral - Calibração de Equipamentos Diversos</t>
  </si>
  <si>
    <t xml:space="preserve">AST - 03 - RS - Partida e Parada da Extrusora OCS e Determinação da Qualidade do Filme</t>
  </si>
  <si>
    <t xml:space="preserve">AST - 03 - QB - Manutenção corretiva de Cromatografos</t>
  </si>
  <si>
    <t xml:space="preserve">AST - 04 - RS - Determinação de Indice de Amarelecimento e Brancura em Resina de PP e PE </t>
  </si>
  <si>
    <t xml:space="preserve">AST - 05 - RS - Determinação da Granulometria em Pó de PE e PP</t>
  </si>
  <si>
    <t xml:space="preserve">AST - 06 - RS - Determinação da Densidade Aparente em PP E PE</t>
  </si>
  <si>
    <t xml:space="preserve"> 18/07/2020</t>
  </si>
  <si>
    <t xml:space="preserve">AST - 07 - RS - Determinação de Espessura, Perímetro e Layout em Embalagens</t>
  </si>
  <si>
    <t xml:space="preserve">AST - 04 - QB - Determinação de PO (Ponto de Orvalho) em Gases</t>
  </si>
  <si>
    <t xml:space="preserve">29/07/20202</t>
  </si>
  <si>
    <t xml:space="preserve">AST - 05 - QB -  Determinação de Umidade Via Karl Fischer Coulométrico</t>
  </si>
  <si>
    <t xml:space="preserve">EM ELABORAÇÃO</t>
  </si>
  <si>
    <t xml:space="preserve">AST - Determinação de Cinzas</t>
  </si>
  <si>
    <t xml:space="preserve">AST - Análise de Gases por Cromatografia</t>
  </si>
  <si>
    <t xml:space="preserve">AST - Limpeza (Química) de Vidrarias e Sobressalentes Plásticos</t>
  </si>
  <si>
    <t xml:space="preserve">AST - Transporte de Produtos Químicos</t>
  </si>
  <si>
    <t xml:space="preserve">AST - Segragação e Descarte de Resíduos Líquidos e_ou Sólidos</t>
  </si>
  <si>
    <t xml:space="preserve">AST - Operação do Digestor</t>
  </si>
  <si>
    <t xml:space="preserve">AST - Detemrinaçaõ de Denisade por Empuxo no Polietileno</t>
  </si>
  <si>
    <t xml:space="preserve">Autores</t>
  </si>
  <si>
    <t xml:space="preserve">Relatório técnico</t>
  </si>
  <si>
    <t xml:space="preserve">RT-0005122</t>
  </si>
  <si>
    <t xml:space="preserve">Anotações Visita Técnica -  Karl Fischer Volumétrico e Coulométrico</t>
  </si>
  <si>
    <t xml:space="preserve">Ana Carla Araújo Costa</t>
  </si>
  <si>
    <t xml:space="preserve">RT-0005124</t>
  </si>
  <si>
    <t xml:space="preserve">Relatório Verificação da Curva de DQO e Cross Check com Kurita</t>
  </si>
  <si>
    <t xml:space="preserve">Ana Carla Araújo Costa e Karla Jacqueline Augusto Machado</t>
  </si>
  <si>
    <t xml:space="preserve">RT-0005125</t>
  </si>
  <si>
    <t xml:space="preserve">SQUAD AGR_LCQ (Rev.3)</t>
  </si>
  <si>
    <t xml:space="preserve">Ana Carla Araújo Costa e Roberta Gross da Silva</t>
  </si>
  <si>
    <t xml:space="preserve">RT-0005078</t>
  </si>
  <si>
    <t xml:space="preserve">Calibração PDHID</t>
  </si>
  <si>
    <t xml:space="preserve">RT-0003695</t>
  </si>
  <si>
    <t xml:space="preserve">Estudo da influência nos Resultados nas Análises de Amostras </t>
  </si>
  <si>
    <t xml:space="preserve">RT-0003635</t>
  </si>
  <si>
    <t xml:space="preserve">Revalidação dos métodos do LCQ DCX</t>
  </si>
  <si>
    <t xml:space="preserve">RT-0000508</t>
  </si>
  <si>
    <t xml:space="preserve">Implementação Análise de Sulfeto por Potenciometria</t>
  </si>
  <si>
    <t xml:space="preserve">Isabel Teixeira Malvar Pinto e Louise Guimarães da Fonseca</t>
  </si>
  <si>
    <t xml:space="preserve">RT-0000838</t>
  </si>
  <si>
    <t xml:space="preserve">Análise de Óleos e Graxas por Extração Manual e Via Soxhlet</t>
  </si>
  <si>
    <t xml:space="preserve">RT-0000781</t>
  </si>
  <si>
    <t xml:space="preserve">Análise de DQO</t>
  </si>
  <si>
    <t xml:space="preserve">Isabel Teixeira Malvar Pinto e Leonardo Geraldo Dutra</t>
  </si>
  <si>
    <t xml:space="preserve">Gestão de Manuais de Utilidades</t>
  </si>
  <si>
    <t xml:space="preserve">Código no BDO</t>
  </si>
  <si>
    <t xml:space="preserve">Status do Documento </t>
  </si>
  <si>
    <t xml:space="preserve">Centro</t>
  </si>
  <si>
    <t xml:space="preserve">Meses para Vencimento</t>
  </si>
  <si>
    <t xml:space="preserve">Comentário</t>
  </si>
  <si>
    <t xml:space="preserve">2.0 - MO 5010-00091 - SISTEMA DE ÁGUA DE RESFRIAMENTO UNIB3 ABC</t>
  </si>
  <si>
    <t xml:space="preserve">Liberado</t>
  </si>
  <si>
    <t xml:space="preserve">SP54</t>
  </si>
  <si>
    <t xml:space="preserve">UNIB 3 ABC - PRODUÇÃO UTILIDADES (15132000)</t>
  </si>
  <si>
    <t xml:space="preserve">TORRES DE RESFRIAMENTO</t>
  </si>
  <si>
    <t xml:space="preserve">CARLOS ALBERTO TOLEDO PIZA</t>
  </si>
  <si>
    <t xml:space="preserve">ALBERTO AMANO</t>
  </si>
  <si>
    <t xml:space="preserve">1.0 - MO 5010-00100-PT - SISTEMA DE EFLUENTES LÍQUIDOS - SEL I</t>
  </si>
  <si>
    <t xml:space="preserve">SP25</t>
  </si>
  <si>
    <t xml:space="preserve">UTILIDADES (10686157)</t>
  </si>
  <si>
    <t xml:space="preserve">S.E.L</t>
  </si>
  <si>
    <t xml:space="preserve">ADRIANO VITOR DE OLIVEIRA</t>
  </si>
  <si>
    <t xml:space="preserve">IVETE SILVA DE JESUS</t>
  </si>
  <si>
    <t xml:space="preserve">2.0 - MO 5010-00101 - OPERAÇÃO DE CALDEIRAS</t>
  </si>
  <si>
    <t xml:space="preserve">CALDEIRAS</t>
  </si>
  <si>
    <t xml:space="preserve">2.0 - MO 5010-00102 - SISTEMA ELETRICO UNIB 3 CK</t>
  </si>
  <si>
    <t xml:space="preserve">ELÉTRICA</t>
  </si>
  <si>
    <t xml:space="preserve">CRISTIANO PEREIRA DA SILVA ANTUNES</t>
  </si>
  <si>
    <t xml:space="preserve">3.0 - MO 5010-00137 - TRATAMENTO DE ÁGUA PARA GERAÇÃO DE VAPOR </t>
  </si>
  <si>
    <t xml:space="preserve">OSMOSE REVERSA</t>
  </si>
  <si>
    <t xml:space="preserve">BRK-INS-01-010197-PT</t>
  </si>
  <si>
    <t xml:space="preserve">IT 5030-01690</t>
  </si>
  <si>
    <t xml:space="preserve">MANUTENÇÃO CALIBRAÇÃO CROMATÓGRAFOS ÁREA POLIETILENO</t>
  </si>
  <si>
    <t xml:space="preserve">CALIBRAÇÃO ANALISADOR TOC - FAB GE</t>
  </si>
  <si>
    <t xml:space="preserve">IT 5030-02045</t>
  </si>
  <si>
    <t xml:space="preserve">AJUSTE/CALIBRAÇÃO DOS ANALISADORES DE PH KNICK</t>
  </si>
  <si>
    <t xml:space="preserve">BRK-INS-01-010974-PT</t>
  </si>
  <si>
    <t xml:space="preserve">IT 5030-02046</t>
  </si>
  <si>
    <t xml:space="preserve">AJUSTE/CALIBRAÇÃO DOS ANALISADORES DE TURBIDEZ ROSEMOUNT MODELO 1056</t>
  </si>
  <si>
    <t xml:space="preserve">Expirado</t>
  </si>
  <si>
    <t xml:space="preserve">BRK-INS-01-015186-PT</t>
  </si>
  <si>
    <t xml:space="preserve">IT 5020-02511</t>
  </si>
  <si>
    <t xml:space="preserve">AJUSTE E CALIBRAÇÃO ANALISADOR SÍLICA HACH MOD 5500</t>
  </si>
  <si>
    <t xml:space="preserve">AJUSTE/CALIBRAÇÃO DE ANALISADORES DE UMIDADE AMETEK.</t>
  </si>
  <si>
    <t xml:space="preserve">IT 5030-02313</t>
  </si>
  <si>
    <t xml:space="preserve">CALIBRAÇÃO E MANUTENÇÃO DETETORES O2 E HC - CROWCON</t>
  </si>
  <si>
    <t xml:space="preserve">2.1</t>
  </si>
  <si>
    <t xml:space="preserve">SISTEMATIZAÇÃO DA ATUAÇÃO EM ANALISADORES DO LCQ DCX</t>
  </si>
  <si>
    <t xml:space="preserve">AJUSTE E CALIBRAÇÃO CROMATÓGRAFO DE SULFURADOS - PP5</t>
  </si>
  <si>
    <t xml:space="preserve">BRK-INS-01-015471-PT</t>
  </si>
  <si>
    <t xml:space="preserve">3.1</t>
  </si>
  <si>
    <t xml:space="preserve">IT 5030-02475</t>
  </si>
  <si>
    <t xml:space="preserve">CALIBRAÇÃO MANUTENÇÃO DETECTOR OXIGÊNIO APEX</t>
  </si>
  <si>
    <t xml:space="preserve">IT 5020-02753</t>
  </si>
  <si>
    <t xml:space="preserve">BRK-INS-01-016176-PT</t>
  </si>
  <si>
    <t xml:space="preserve">IT 5030-00245</t>
  </si>
  <si>
    <t xml:space="preserve">AJUSTE/CALIBRAÇÃO DE ANALISADORES DE PH MOD. 5081</t>
  </si>
  <si>
    <t xml:space="preserve">BRK-INS-01-016185-PT</t>
  </si>
  <si>
    <t xml:space="preserve">IT 5030-00246</t>
  </si>
  <si>
    <t xml:space="preserve">MANUTENÇÃO CALIBRAÇÃO ANALISADORES ÁCIDO SODA TOROIDAL</t>
  </si>
  <si>
    <t xml:space="preserve">BRK-INS-01-016195-PT</t>
  </si>
  <si>
    <t xml:space="preserve">IT 5030-00247</t>
  </si>
  <si>
    <t xml:space="preserve">AJUSTE/CALIBRAÇÃO DE ANALISADORES DE CONDUTIVIDADE MOD. 2081</t>
  </si>
  <si>
    <t xml:space="preserve">IT 5030-00248</t>
  </si>
  <si>
    <t xml:space="preserve">AJUSTE/CALIBRAÇÃO DE ANALISADORES DE OXIGÊNIO PARAMAGNÉTICO - XENDOS 2200</t>
  </si>
  <si>
    <t xml:space="preserve">BRK-INS-01-016209-PT</t>
  </si>
  <si>
    <t xml:space="preserve">IT 5030-00249</t>
  </si>
  <si>
    <t xml:space="preserve">AJUSTE/CALIBRAÇÃO DE DETECTORES DE CLORO</t>
  </si>
  <si>
    <t xml:space="preserve">BRK-INS-01-016221-PT</t>
  </si>
  <si>
    <t xml:space="preserve">IT 5030-00251</t>
  </si>
  <si>
    <t xml:space="preserve">AJUSTE/CALIBRAÇÃO DE ANALISADORES DE OXIGÊNIO ROSEMOUNT</t>
  </si>
  <si>
    <t xml:space="preserve">AJUSTE/CALIBRAÇÃO DE ANALISADORES DE UMIDADE PANAMETRICS</t>
  </si>
  <si>
    <t xml:space="preserve">IT 5030-00253</t>
  </si>
  <si>
    <t xml:space="preserve">AJUSTE/CALIBRAÇÃO DE ANALISADORES DE TURBIDEZ MODELO 1054</t>
  </si>
  <si>
    <t xml:space="preserve">IT 5030-00254</t>
  </si>
  <si>
    <t xml:space="preserve">AJUSTE/CALIBRAÇÃO DE DETECTORES DE GÁS</t>
  </si>
  <si>
    <t xml:space="preserve">BRK-INS-01-016261-PT</t>
  </si>
  <si>
    <t xml:space="preserve">IT 5030-00255</t>
  </si>
  <si>
    <t xml:space="preserve">CALIBRAÇÃO MANUTENÇÃO TURBIDÍMETRO YOKOGAWA</t>
  </si>
  <si>
    <t xml:space="preserve">IT 5030-00257</t>
  </si>
  <si>
    <t xml:space="preserve">BRK-INS-01-016315-PT</t>
  </si>
  <si>
    <t xml:space="preserve">IT 5030-02940</t>
  </si>
  <si>
    <t xml:space="preserve">AJUSTE/CALIBRAÇÃO DOS ANALISADORES DE OXIGÊNIO DISSOLVIDO</t>
  </si>
  <si>
    <t xml:space="preserve">IT 5030-02962</t>
  </si>
  <si>
    <t xml:space="preserve">AJUSTE/CALIBRAÇÃO DOS ANALISADORES PORTÁTEIS DE OXIGÊNIO DISSOLVIDO</t>
  </si>
  <si>
    <t xml:space="preserve">CALIBRAÇÃO E MANUTENÇÃO DOS ANALISADORES CONDUTIVIDADE KNICK</t>
  </si>
  <si>
    <t xml:space="preserve">CALIBRAÇÃO MANUTENÇÃO CROMATÓGRAFOS DCX/RJ</t>
  </si>
  <si>
    <t xml:space="preserve">7.1</t>
  </si>
  <si>
    <t xml:space="preserve">LAURA DE ALMEIDA DOS SANTOS</t>
  </si>
  <si>
    <t xml:space="preserve">OPERAÇÃO DOS EQUIPAMENTOS PARA ANÁLISE DE ÍNDICE DE FLUIDEZ DO LCQ - PE 9 DCX</t>
  </si>
  <si>
    <t xml:space="preserve">AJUSTE/CALIBRAÇÃO DE DETECTORES DE CHAMA UV/IR</t>
  </si>
  <si>
    <t xml:space="preserve">BRK-INS-01-010203-PT</t>
  </si>
  <si>
    <t xml:space="preserve">DETERMINAÇÃO DE SOLÚVEIS EM XILENO EM POLIPROPILENO POR RMN</t>
  </si>
  <si>
    <t xml:space="preserve">MARINEUSA GOMES NOGUEIRA BUZZA</t>
  </si>
  <si>
    <t xml:space="preserve">Antonio TARCISIO A FERNANDES</t>
  </si>
  <si>
    <t xml:space="preserve">14.0</t>
  </si>
  <si>
    <t xml:space="preserve">GUSTAVO LUIS PERUZZO</t>
  </si>
  <si>
    <t xml:space="preserve">GUILHERME SANTIAGO DE SOUZA</t>
  </si>
  <si>
    <t xml:space="preserve">ALINE FRITSCH</t>
  </si>
  <si>
    <t xml:space="preserve">5.1</t>
  </si>
  <si>
    <t xml:space="preserve">DETERMINAÇÃO DA FLUORESCÊNCIA DE BRANQUEADOR ÓTICO EM PELETES DE PP</t>
  </si>
  <si>
    <t xml:space="preserve">CLASSIFICAÇÃO E LIBERAÇÃO DE LOTES DE PE E PP</t>
  </si>
  <si>
    <t xml:space="preserve">4.1</t>
  </si>
  <si>
    <t xml:space="preserve">CAMILA NIRVANA VASCONCELOS LEITE</t>
  </si>
  <si>
    <t xml:space="preserve">6.1</t>
  </si>
  <si>
    <t xml:space="preserve">BRK-FOR-01-013273-PT</t>
  </si>
  <si>
    <t xml:space="preserve">1.0 - ANX 5020-00438 - PLANO DE CONTIGÊNCIA EQUIPAMENTOS PE9-PP5 DCX</t>
  </si>
  <si>
    <t xml:space="preserve">1.0 - ANX 5020-00439 - CRITÉRIO DE ACEITAÇÃO DOS EQUIPAMENTOS PP5_PE9</t>
  </si>
  <si>
    <t xml:space="preserve">4.0 - ANX 5020-00390 - PLANO DE ROTINA DE ANÁLISES DO LCQ PP5</t>
  </si>
  <si>
    <t xml:space="preserve">4.0 - ANX 5020-00369 - PLANO DE CONTINGÊNCIA - OSBL</t>
  </si>
  <si>
    <t xml:space="preserve">7.0 - ANX 5020-00388 - PLANO DE AJUSTE E CALIBRAÇÃO - QB DCX</t>
  </si>
  <si>
    <t xml:space="preserve">ANX 5020-00414</t>
  </si>
  <si>
    <t xml:space="preserve">4.0 - ANX 5020-00414 - PLANO DE ROTINA DE ANÁLISES DE ETENO</t>
  </si>
  <si>
    <t xml:space="preserve">CÁLCULOS DE APOIO DO COCKPIT — não editar (exceto Data de referência)</t>
  </si>
  <si>
    <t xml:space="preserve">Data de referência</t>
  </si>
  <si>
    <t xml:space="preserve">Padrão: =HOJE(). Para congelar uma data de reunião, digite a data em B3.</t>
  </si>
  <si>
    <t xml:space="preserve">Áreas</t>
  </si>
  <si>
    <t xml:space="preserve">Situações</t>
  </si>
  <si>
    <t xml:space="preserve">Horizontes</t>
  </si>
  <si>
    <t xml:space="preserve">Status</t>
  </si>
  <si>
    <t xml:space="preserve">Responsáveis</t>
  </si>
  <si>
    <t xml:space="preserve">Vencida</t>
  </si>
  <si>
    <t xml:space="preserve">Ana Carla Da Cruz Araujo</t>
  </si>
  <si>
    <t xml:space="preserve">Até 90 dias</t>
  </si>
  <si>
    <t xml:space="preserve">Avaliação de uso</t>
  </si>
  <si>
    <t xml:space="preserve">91 dias a 12 meses</t>
  </si>
  <si>
    <t xml:space="preserve">Bruna Luisa Goldschmidt</t>
  </si>
  <si>
    <t xml:space="preserve">Após 12 meses</t>
  </si>
  <si>
    <t xml:space="preserve">Sem validade</t>
  </si>
  <si>
    <t xml:space="preserve">Fora de Uso</t>
  </si>
  <si>
    <t xml:space="preserve">Cleiton Leandro Zimmermann Pereira</t>
  </si>
  <si>
    <t xml:space="preserve">Cristiano Dos Santos Correa</t>
  </si>
  <si>
    <t xml:space="preserve">Eduardo Stoffel Wagner</t>
  </si>
  <si>
    <t xml:space="preserve">Elton Luis Soares Taborda</t>
  </si>
  <si>
    <t xml:space="preserve">AGENDA — próximos 12 meses (somente Aprovadas, validade ≥ data de referência)</t>
  </si>
  <si>
    <t xml:space="preserve">Fatima Moura Guterres</t>
  </si>
  <si>
    <t xml:space="preserve">Mês</t>
  </si>
  <si>
    <t xml:space="preserve">Rótulo</t>
  </si>
  <si>
    <t xml:space="preserve">Qtd.</t>
  </si>
  <si>
    <t xml:space="preserve">Normal</t>
  </si>
  <si>
    <t xml:space="preserve">Concentração</t>
  </si>
  <si>
    <t xml:space="preserve">Limite</t>
  </si>
  <si>
    <t xml:space="preserve">Mês de concentração = ≥ 2× a média mensal dos 12 meses e no mínimo 3 documentos</t>
  </si>
  <si>
    <t xml:space="preserve">CARTEIRA POR ÁREA CONSOLIDADA (cada código conta 1 vez; compartilhados em categoria própria, ex.: Q4/AOL)</t>
  </si>
  <si>
    <t xml:space="preserve">CARTEIRA POR RESPONSÁVEL (nome padronizado — PROPER/TRIM); ordem = necessidade de acompanhamento</t>
  </si>
  <si>
    <t xml:space="preserve">Ação/validar</t>
  </si>
  <si>
    <t xml:space="preserve">Vencem 12m</t>
  </si>
  <si>
    <t xml:space="preserve">Índice ordenação</t>
  </si>
  <si>
    <t xml:space="preserve">k</t>
  </si>
  <si>
    <t xml:space="preserve">Score</t>
  </si>
  <si>
    <t xml:space="preserve">Linha</t>
  </si>
  <si>
    <t xml:space="preserve">Nome curto</t>
  </si>
  <si>
    <t xml:space="preserve">Lais Almeida Nascimento</t>
  </si>
  <si>
    <t xml:space="preserve">Larissa Vicente Cardoso Guedes</t>
  </si>
  <si>
    <t xml:space="preserve">Thais Nyland</t>
  </si>
  <si>
    <t xml:space="preserve">AÇÃO NECESSÁRIA — top 8 por prioridade (1 vencida ativa · 2 não encontrada · 3 revisão · 4 elaboração · 5 vence ≤ 90 dias · 6 validar cadastro)</t>
  </si>
  <si>
    <t xml:space="preserve">Linha base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</si>
</sst>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yy"/>
    <numFmt numFmtId="166" formatCode="0"/>
    <numFmt numFmtId="167" formatCode="0.0%"/>
    <numFmt numFmtId="168" formatCode="0&quot; instruções&quot;"/>
    <numFmt numFmtId="169" formatCode="General"/>
    <numFmt numFmtId="170" formatCode="0;\-0;\·"/>
    <numFmt numFmtId="171" formatCode="#,##0;\-#,##0"/>
    <numFmt numFmtId="172" formatCode="mmm/yyyy"/>
    <numFmt numFmtId="173" formatCode="m/d/yyyy"/>
    <numFmt numFmtId="174" formatCode="@"/>
    <numFmt numFmtId="175" formatCode="0.0"/>
    <numFmt numFmtId="176" formatCode="0;;;"/>
  </numFmts>
  <fonts count="9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0"/>
      <name val="Calibri"/>
      <family val="0"/>
      <charset val="1"/>
    </font>
    <font>
      <b val="true"/>
      <sz val="26"/>
      <color rgb="FFFFFFFF"/>
      <name val="Segoe UI"/>
      <family val="0"/>
      <charset val="1"/>
    </font>
    <font>
      <b val="true"/>
      <sz val="9"/>
      <color rgb="FF9FB0CC"/>
      <name val="Segoe UI"/>
      <family val="0"/>
      <charset val="1"/>
    </font>
    <font>
      <sz val="12"/>
      <color rgb="FFC9D3E6"/>
      <name val="Segoe UI"/>
      <family val="0"/>
      <charset val="1"/>
    </font>
    <font>
      <b val="true"/>
      <sz val="16"/>
      <color rgb="FFFFFFFF"/>
      <name val="Segoe UI"/>
      <family val="0"/>
      <charset val="1"/>
    </font>
    <font>
      <i val="true"/>
      <sz val="10"/>
      <color rgb="FF9FB0CC"/>
      <name val="Segoe UI"/>
      <family val="0"/>
      <charset val="1"/>
    </font>
    <font>
      <b val="true"/>
      <sz val="11"/>
      <color rgb="FF1F2A44"/>
      <name val="Segoe UI"/>
      <family val="0"/>
      <charset val="1"/>
    </font>
    <font>
      <b val="true"/>
      <sz val="8"/>
      <color rgb="FF6B7280"/>
      <name val="Segoe UI"/>
      <family val="0"/>
      <charset val="1"/>
    </font>
    <font>
      <b val="true"/>
      <sz val="26"/>
      <color rgb="FF1F2A44"/>
      <name val="Segoe UI"/>
      <family val="0"/>
      <charset val="1"/>
    </font>
    <font>
      <b val="true"/>
      <sz val="26"/>
      <color rgb="FF1E7B4C"/>
      <name val="Segoe UI"/>
      <family val="0"/>
      <charset val="1"/>
    </font>
    <font>
      <b val="true"/>
      <sz val="26"/>
      <color rgb="FFB42318"/>
      <name val="Segoe UI"/>
      <family val="0"/>
      <charset val="1"/>
    </font>
    <font>
      <b val="true"/>
      <sz val="26"/>
      <color rgb="FF9A6700"/>
      <name val="Segoe UI"/>
      <family val="0"/>
      <charset val="1"/>
    </font>
    <font>
      <b val="true"/>
      <sz val="26"/>
      <color rgb="FF2F5597"/>
      <name val="Segoe UI"/>
      <family val="0"/>
      <charset val="1"/>
    </font>
    <font>
      <sz val="8"/>
      <color rgb="FF6B7280"/>
      <name val="Segoe UI"/>
      <family val="0"/>
      <charset val="1"/>
    </font>
    <font>
      <sz val="22"/>
      <color rgb="FF1F2A44"/>
      <name val="Segoe UI"/>
      <family val="0"/>
      <charset val="1"/>
    </font>
    <font>
      <sz val="22"/>
      <color rgb="FFB42318"/>
      <name val="Segoe UI"/>
      <family val="0"/>
      <charset val="1"/>
    </font>
    <font>
      <sz val="22"/>
      <color rgb="FF2F5597"/>
      <name val="Segoe UI"/>
      <family val="0"/>
      <charset val="1"/>
    </font>
    <font>
      <b val="true"/>
      <sz val="14"/>
      <color rgb="FF1F2A44"/>
      <name val="Segoe UI"/>
      <family val="0"/>
      <charset val="1"/>
    </font>
    <font>
      <sz val="9"/>
      <color rgb="FF6B7280"/>
      <name val="Segoe UI"/>
      <family val="0"/>
      <charset val="1"/>
    </font>
    <font>
      <b val="true"/>
      <sz val="9"/>
      <color rgb="FF1F2A44"/>
      <name val="Segoe UI"/>
      <family val="0"/>
      <charset val="1"/>
    </font>
    <font>
      <b val="true"/>
      <sz val="9"/>
      <color rgb="FFB42318"/>
      <name val="Segoe UI"/>
      <family val="0"/>
      <charset val="1"/>
    </font>
    <font>
      <b val="true"/>
      <sz val="9"/>
      <color rgb="FF2F5597"/>
      <name val="Segoe UI"/>
      <family val="0"/>
      <charset val="1"/>
    </font>
    <font>
      <b val="true"/>
      <sz val="10"/>
      <color rgb="FF2F5597"/>
      <name val="Segoe UI"/>
      <family val="0"/>
      <charset val="1"/>
    </font>
    <font>
      <sz val="22"/>
      <color rgb="FF9A6700"/>
      <name val="Segoe UI"/>
      <family val="0"/>
      <charset val="1"/>
    </font>
    <font>
      <sz val="22"/>
      <color rgb="FF5B6B85"/>
      <name val="Segoe UI"/>
      <family val="0"/>
      <charset val="1"/>
    </font>
    <font>
      <b val="true"/>
      <sz val="9"/>
      <color rgb="FF9A6700"/>
      <name val="Segoe UI"/>
      <family val="0"/>
      <charset val="1"/>
    </font>
    <font>
      <b val="true"/>
      <sz val="9"/>
      <color rgb="FF5B6B85"/>
      <name val="Segoe UI"/>
      <family val="0"/>
      <charset val="1"/>
    </font>
    <font>
      <b val="true"/>
      <sz val="13"/>
      <color rgb="FF1F2A44"/>
      <name val="Segoe UI"/>
      <family val="0"/>
      <charset val="1"/>
    </font>
    <font>
      <b val="true"/>
      <sz val="20"/>
      <color rgb="FF1F2A44"/>
      <name val="Segoe UI"/>
      <family val="0"/>
      <charset val="1"/>
    </font>
    <font>
      <b val="true"/>
      <sz val="24"/>
      <color rgb="FFFFFFFF"/>
      <name val="Segoe UI"/>
      <family val="0"/>
      <charset val="1"/>
    </font>
    <font>
      <b val="true"/>
      <sz val="8"/>
      <color rgb="FFB42318"/>
      <name val="Segoe UI"/>
      <family val="0"/>
      <charset val="1"/>
    </font>
    <font>
      <b val="true"/>
      <sz val="8"/>
      <color rgb="FF9A6700"/>
      <name val="Segoe UI"/>
      <family val="0"/>
      <charset val="1"/>
    </font>
    <font>
      <b val="true"/>
      <sz val="8"/>
      <color rgb="FF1E7B4C"/>
      <name val="Segoe UI"/>
      <family val="0"/>
      <charset val="1"/>
    </font>
    <font>
      <b val="true"/>
      <sz val="8"/>
      <color rgb="FF8A94A3"/>
      <name val="Segoe UI"/>
      <family val="0"/>
      <charset val="1"/>
    </font>
    <font>
      <i val="true"/>
      <sz val="8"/>
      <color rgb="FF6B7280"/>
      <name val="Segoe UI"/>
      <family val="0"/>
      <charset val="1"/>
    </font>
    <font>
      <b val="true"/>
      <sz val="17"/>
      <color rgb="FFFFFFFF"/>
      <name val="Segoe UI"/>
      <family val="0"/>
      <charset val="1"/>
    </font>
    <font>
      <b val="true"/>
      <sz val="8"/>
      <color rgb="FF9FB0CC"/>
      <name val="Segoe UI"/>
      <family val="0"/>
      <charset val="1"/>
    </font>
    <font>
      <sz val="10"/>
      <color rgb="FFC9D3E6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i val="true"/>
      <sz val="8"/>
      <color rgb="FF9FB0CC"/>
      <name val="Segoe UI"/>
      <family val="0"/>
      <charset val="1"/>
    </font>
    <font>
      <b val="true"/>
      <sz val="10"/>
      <color rgb="FF1F2A44"/>
      <name val="Segoe UI"/>
      <family val="0"/>
      <charset val="1"/>
    </font>
    <font>
      <b val="true"/>
      <sz val="24"/>
      <color rgb="FF1F2A44"/>
      <name val="Segoe UI"/>
      <family val="0"/>
      <charset val="1"/>
    </font>
    <font>
      <b val="true"/>
      <sz val="24"/>
      <color rgb="FF1E7B4C"/>
      <name val="Segoe UI"/>
      <family val="0"/>
      <charset val="1"/>
    </font>
    <font>
      <b val="true"/>
      <sz val="24"/>
      <color rgb="FF9A6700"/>
      <name val="Segoe UI"/>
      <family val="0"/>
      <charset val="1"/>
    </font>
    <font>
      <b val="true"/>
      <sz val="24"/>
      <color rgb="FFB42318"/>
      <name val="Segoe UI"/>
      <family val="0"/>
      <charset val="1"/>
    </font>
    <font>
      <b val="true"/>
      <sz val="9"/>
      <color rgb="FF1F2937"/>
      <name val="Segoe UI"/>
      <family val="0"/>
      <charset val="1"/>
    </font>
    <font>
      <sz val="8"/>
      <color rgb="FF1F2937"/>
      <name val="Segoe UI"/>
      <family val="0"/>
      <charset val="1"/>
    </font>
    <font>
      <sz val="9"/>
      <color rgb="FF1F2937"/>
      <name val="Segoe UI"/>
      <family val="0"/>
      <charset val="1"/>
    </font>
    <font>
      <b val="true"/>
      <sz val="15"/>
      <color rgb="FF1F2A44"/>
      <name val="Segoe UI"/>
      <family val="0"/>
      <charset val="1"/>
    </font>
    <font>
      <b val="true"/>
      <sz val="8"/>
      <color rgb="FF2F5597"/>
      <name val="Segoe UI"/>
      <family val="0"/>
      <charset val="1"/>
    </font>
    <font>
      <b val="true"/>
      <sz val="9"/>
      <color rgb="FF1F2A44"/>
      <name val="Calibri"/>
      <family val="2"/>
    </font>
    <font>
      <b val="true"/>
      <sz val="9"/>
      <color rgb="FFFFFFFF"/>
      <name val="Calibri"/>
      <family val="2"/>
    </font>
    <font>
      <sz val="10"/>
      <color rgb="FF000000"/>
      <name val="Calibri"/>
      <family val="2"/>
    </font>
    <font>
      <b val="true"/>
      <sz val="18"/>
      <color rgb="FFFFFFFF"/>
      <name val="Segoe UI"/>
      <family val="0"/>
      <charset val="1"/>
    </font>
    <font>
      <b val="true"/>
      <sz val="9"/>
      <color rgb="FF6B7280"/>
      <name val="Segoe UI"/>
      <family val="0"/>
      <charset val="1"/>
    </font>
    <font>
      <b val="true"/>
      <sz val="11"/>
      <color rgb="FF2F5597"/>
      <name val="Segoe UI"/>
      <family val="0"/>
      <charset val="1"/>
    </font>
    <font>
      <b val="true"/>
      <sz val="8"/>
      <color rgb="FFFFFFFF"/>
      <name val="Segoe UI"/>
      <family val="0"/>
      <charset val="1"/>
    </font>
    <font>
      <sz val="9"/>
      <color rgb="FF1F2937"/>
      <name val="WenQuanYi Zen Hei"/>
      <family val="2"/>
    </font>
    <font>
      <b val="true"/>
      <sz val="22"/>
      <color rgb="FF1F2A44"/>
      <name val="Segoe UI"/>
      <family val="0"/>
      <charset val="1"/>
    </font>
    <font>
      <b val="true"/>
      <sz val="22"/>
      <color rgb="FF2F5597"/>
      <name val="Segoe UI"/>
      <family val="0"/>
      <charset val="1"/>
    </font>
    <font>
      <b val="true"/>
      <sz val="22"/>
      <color rgb="FFB42318"/>
      <name val="Segoe UI"/>
      <family val="0"/>
      <charset val="1"/>
    </font>
    <font>
      <b val="true"/>
      <sz val="22"/>
      <color rgb="FF9A6700"/>
      <name val="Segoe UI"/>
      <family val="0"/>
      <charset val="1"/>
    </font>
    <font>
      <b val="true"/>
      <sz val="22"/>
      <color rgb="FF8A94A3"/>
      <name val="Segoe UI"/>
      <family val="0"/>
      <charset val="1"/>
    </font>
    <font>
      <b val="true"/>
      <sz val="19"/>
      <color rgb="FFFFFFFF"/>
      <name val="Aptos Display"/>
      <family val="0"/>
      <charset val="1"/>
    </font>
    <font>
      <b val="true"/>
      <sz val="15"/>
      <color rgb="FFFFFFFF"/>
      <name val="Segoe UI"/>
      <family val="0"/>
      <charset val="1"/>
    </font>
    <font>
      <b val="true"/>
      <sz val="9"/>
      <color rgb="FFC9D3E6"/>
      <name val="Segoe UI"/>
      <family val="0"/>
      <charset val="1"/>
    </font>
    <font>
      <b val="true"/>
      <sz val="11"/>
      <color rgb="FFFFFFFF"/>
      <name val="Aptos"/>
      <family val="0"/>
      <charset val="1"/>
    </font>
    <font>
      <sz val="12"/>
      <color theme="0"/>
      <name val="Calibri"/>
      <family val="0"/>
      <charset val="1"/>
    </font>
    <font>
      <sz val="10"/>
      <color rgb="FF1F2937"/>
      <name val="Segoe UI"/>
      <family val="0"/>
      <charset val="1"/>
    </font>
    <font>
      <b val="true"/>
      <sz val="10"/>
      <color rgb="FF1F2937"/>
      <name val="Segoe UI"/>
      <family val="0"/>
      <charset val="1"/>
    </font>
    <font>
      <sz val="10"/>
      <color rgb="FF1F2937"/>
      <name val="Aptos"/>
      <family val="0"/>
      <charset val="1"/>
    </font>
    <font>
      <sz val="10"/>
      <color rgb="FF1F2937"/>
      <name val="WenQuanYi Zen Hei"/>
      <family val="2"/>
    </font>
    <font>
      <sz val="11"/>
      <color rgb="FFFF0000"/>
      <name val="Calibri"/>
      <family val="0"/>
      <charset val="1"/>
    </font>
    <font>
      <b val="true"/>
      <sz val="9"/>
      <color rgb="FF1E7B4C"/>
      <name val="Segoe UI"/>
      <family val="0"/>
      <charset val="1"/>
    </font>
    <font>
      <sz val="11"/>
      <color theme="1" tint="0.3499"/>
      <name val="Calibri"/>
      <family val="0"/>
      <charset val="1"/>
    </font>
    <font>
      <b val="true"/>
      <sz val="10"/>
      <color rgb="FFFFFFFF"/>
      <name val="Aptos"/>
      <family val="0"/>
      <charset val="1"/>
    </font>
    <font>
      <sz val="11"/>
      <color theme="0"/>
      <name val="Calibri"/>
      <family val="0"/>
      <charset val="1"/>
    </font>
    <font>
      <sz val="16"/>
      <color theme="0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7"/>
      <color rgb="FFFFFFFF"/>
      <name val="Aptos Display"/>
      <family val="0"/>
      <charset val="1"/>
    </font>
    <font>
      <sz val="14"/>
      <color theme="1"/>
      <name val="Calibri"/>
      <family val="0"/>
      <charset val="1"/>
    </font>
    <font>
      <sz val="10"/>
      <color rgb="FF9A6700"/>
      <name val="Segoe UI"/>
      <family val="0"/>
      <charset val="1"/>
    </font>
    <font>
      <sz val="16"/>
      <color theme="1"/>
      <name val="Calibri"/>
      <family val="0"/>
      <charset val="1"/>
    </font>
    <font>
      <sz val="10"/>
      <name val="Arial"/>
      <family val="2"/>
    </font>
    <font>
      <b val="true"/>
      <sz val="12"/>
      <color rgb="FF1F2A44"/>
      <name val="Segoe UI"/>
      <family val="0"/>
      <charset val="1"/>
    </font>
    <font>
      <i val="true"/>
      <sz val="9"/>
      <color rgb="FF6B7280"/>
      <name val="Segoe UI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F3F5F8"/>
        <bgColor rgb="FFF4F7FB"/>
      </patternFill>
    </fill>
    <fill>
      <patternFill patternType="solid">
        <fgColor rgb="FF1F2A44"/>
        <bgColor rgb="FF1F2937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EF0F3"/>
      </patternFill>
    </fill>
    <fill>
      <patternFill patternType="solid">
        <fgColor rgb="FF2F5597"/>
        <bgColor rgb="FF34405A"/>
      </patternFill>
    </fill>
    <fill>
      <patternFill patternType="solid">
        <fgColor rgb="FFFBEAE8"/>
        <bgColor rgb="FFFDF3DC"/>
      </patternFill>
    </fill>
    <fill>
      <patternFill patternType="solid">
        <fgColor rgb="FFFDF3DC"/>
        <bgColor rgb="FFFBEAE8"/>
      </patternFill>
    </fill>
    <fill>
      <patternFill patternType="solid">
        <fgColor rgb="FFE6F4EC"/>
        <bgColor rgb="FFEEF0F3"/>
      </patternFill>
    </fill>
    <fill>
      <patternFill patternType="solid">
        <fgColor rgb="FFEEF0F3"/>
        <bgColor rgb="FFE8EEF7"/>
      </patternFill>
    </fill>
    <fill>
      <patternFill patternType="solid">
        <fgColor rgb="FFE4E8EF"/>
        <bgColor rgb="FFE6E9EF"/>
      </patternFill>
    </fill>
    <fill>
      <patternFill patternType="solid">
        <fgColor rgb="FF34405A"/>
        <bgColor rgb="FF1F2A44"/>
      </patternFill>
    </fill>
    <fill>
      <patternFill patternType="solid">
        <fgColor rgb="FFF7F9FC"/>
        <bgColor rgb="FFF4F7FB"/>
      </patternFill>
    </fill>
    <fill>
      <patternFill patternType="solid">
        <fgColor rgb="FF4E739A"/>
        <bgColor rgb="FF5B6B85"/>
      </patternFill>
    </fill>
    <fill>
      <patternFill patternType="solid">
        <fgColor rgb="FFF4F7FB"/>
        <bgColor rgb="FFF3F5F8"/>
      </patternFill>
    </fill>
    <fill>
      <patternFill patternType="solid">
        <fgColor rgb="FF0B2F57"/>
        <bgColor rgb="FF1F2A44"/>
      </patternFill>
    </fill>
    <fill>
      <patternFill patternType="solid">
        <fgColor rgb="FF007DA6"/>
        <bgColor rgb="FF0563C1"/>
      </patternFill>
    </fill>
    <fill>
      <patternFill patternType="solid">
        <fgColor theme="3" tint="0.5999"/>
        <bgColor rgb="FF9FB0CC"/>
      </patternFill>
    </fill>
    <fill>
      <patternFill patternType="solid">
        <fgColor rgb="FF5B6573"/>
        <bgColor rgb="FF5B6B85"/>
      </patternFill>
    </fill>
    <fill>
      <patternFill patternType="solid">
        <fgColor rgb="FF8A94A3"/>
        <bgColor rgb="FF8B8B8B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F5597"/>
      </bottom>
      <diagonal/>
    </border>
    <border diagonalUp="false" diagonalDown="false">
      <left style="thick">
        <color rgb="FFF3F5F8"/>
      </left>
      <right style="thick">
        <color rgb="FFF3F5F8"/>
      </right>
      <top style="thick">
        <color rgb="FF1F2A44"/>
      </top>
      <bottom/>
      <diagonal/>
    </border>
    <border diagonalUp="false" diagonalDown="false">
      <left style="thick">
        <color rgb="FFF3F5F8"/>
      </left>
      <right style="thick">
        <color rgb="FFF3F5F8"/>
      </right>
      <top style="thick">
        <color rgb="FF1E7B4C"/>
      </top>
      <bottom/>
      <diagonal/>
    </border>
    <border diagonalUp="false" diagonalDown="false">
      <left style="thick">
        <color rgb="FFF3F5F8"/>
      </left>
      <right style="thick">
        <color rgb="FFF3F5F8"/>
      </right>
      <top style="thick">
        <color rgb="FFB42318"/>
      </top>
      <bottom/>
      <diagonal/>
    </border>
    <border diagonalUp="false" diagonalDown="false">
      <left style="thick">
        <color rgb="FFF3F5F8"/>
      </left>
      <right style="thick">
        <color rgb="FFF3F5F8"/>
      </right>
      <top style="thick">
        <color rgb="FF9A6700"/>
      </top>
      <bottom/>
      <diagonal/>
    </border>
    <border diagonalUp="false" diagonalDown="false">
      <left style="thick">
        <color rgb="FFF3F5F8"/>
      </left>
      <right style="thick">
        <color rgb="FFF3F5F8"/>
      </right>
      <top style="thick">
        <color rgb="FF2F5597"/>
      </top>
      <bottom/>
      <diagonal/>
    </border>
    <border diagonalUp="false" diagonalDown="false">
      <left style="thick">
        <color rgb="FFF3F5F8"/>
      </left>
      <right style="thick">
        <color rgb="FFF3F5F8"/>
      </right>
      <top/>
      <bottom/>
      <diagonal/>
    </border>
    <border diagonalUp="false" diagonalDown="false">
      <left style="thick">
        <color rgb="FFF3F5F8"/>
      </left>
      <right/>
      <top/>
      <bottom/>
      <diagonal/>
    </border>
    <border diagonalUp="false" diagonalDown="false">
      <left/>
      <right style="thick">
        <color rgb="FFF3F5F8"/>
      </right>
      <top/>
      <bottom/>
      <diagonal/>
    </border>
    <border diagonalUp="false" diagonalDown="false">
      <left style="thick">
        <color rgb="FFF3F5F8"/>
      </left>
      <right style="thick">
        <color rgb="FFF3F5F8"/>
      </right>
      <top style="thick">
        <color rgb="FFF3F5F8"/>
      </top>
      <bottom style="thick">
        <color rgb="FFF3F5F8"/>
      </bottom>
      <diagonal/>
    </border>
    <border diagonalUp="false" diagonalDown="false">
      <left style="thick">
        <color rgb="FFF3F5F8"/>
      </left>
      <right style="thick">
        <color rgb="FFF3F5F8"/>
      </right>
      <top style="thick">
        <color rgb="FF5B6B85"/>
      </top>
      <bottom/>
      <diagonal/>
    </border>
    <border diagonalUp="false" diagonalDown="false">
      <left style="thick">
        <color rgb="FF1F2A44"/>
      </left>
      <right style="thick">
        <color rgb="FF1F2A44"/>
      </right>
      <top style="thick">
        <color rgb="FF1F2A44"/>
      </top>
      <bottom style="thick">
        <color rgb="FF1F2A44"/>
      </bottom>
      <diagonal/>
    </border>
    <border diagonalUp="false" diagonalDown="false">
      <left style="thin">
        <color rgb="FFDDE2EA"/>
      </left>
      <right style="thin">
        <color rgb="FFDDE2EA"/>
      </right>
      <top style="thin">
        <color rgb="FFDDE2EA"/>
      </top>
      <bottom style="medium">
        <color rgb="FF8EA9D6"/>
      </bottom>
      <diagonal/>
    </border>
    <border diagonalUp="false" diagonalDown="false">
      <left/>
      <right/>
      <top/>
      <bottom style="thin">
        <color rgb="FFDDE2EA"/>
      </bottom>
      <diagonal/>
    </border>
    <border diagonalUp="false" diagonalDown="false">
      <left/>
      <right/>
      <top/>
      <bottom style="thin">
        <color rgb="FF6B7280"/>
      </bottom>
      <diagonal/>
    </border>
    <border diagonalUp="false" diagonalDown="false">
      <left/>
      <right/>
      <top style="thin">
        <color rgb="FFDDE2EA"/>
      </top>
      <bottom style="medium">
        <color rgb="FF2F5597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ck">
        <color rgb="FFF3F5F8"/>
      </left>
      <right style="thick">
        <color rgb="FFF3F5F8"/>
      </right>
      <top style="thick">
        <color rgb="FF8A94A3"/>
      </top>
      <bottom/>
      <diagonal/>
    </border>
    <border diagonalUp="false" diagonalDown="false">
      <left/>
      <right/>
      <top/>
      <bottom style="thin">
        <color rgb="FF1F2A44"/>
      </bottom>
      <diagonal/>
    </border>
    <border diagonalUp="false" diagonalDown="false">
      <left/>
      <right/>
      <top/>
      <bottom style="thin">
        <color rgb="FFE6E9EF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8" fillId="3" borderId="0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4" fontId="9" fillId="3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4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4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4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4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2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6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9" fillId="4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0" fillId="4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1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4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3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8" fillId="4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9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4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32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4" borderId="7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25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9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2" fillId="4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3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41" fillId="3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42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2" fillId="3" borderId="0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4" fontId="43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4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6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7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8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9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46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7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4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2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4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2" fillId="4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52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0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50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4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53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4" fillId="4" borderId="7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3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4" borderId="1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1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52" fillId="4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12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3" fillId="1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6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3" fillId="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3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52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2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2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2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1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3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3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63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4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5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6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67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4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0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1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3" fillId="4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4" fillId="4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3" fillId="4" borderId="2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5" fontId="7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1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3" fillId="13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4" fillId="13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3" fillId="13" borderId="2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5" fontId="73" fillId="1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73" fillId="13" borderId="2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74" fillId="4" borderId="2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3" fontId="73" fillId="4" borderId="2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3" fillId="4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2" fillId="4" borderId="7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8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0" fillId="5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2" fillId="5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9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3" fillId="13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3" fillId="4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3" fillId="13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4" fillId="13" borderId="2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8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0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4" fillId="4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73" fillId="13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73" fillId="13" borderId="2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4" fontId="73" fillId="4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86" fillId="8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8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73" fillId="4" borderId="20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68" fillId="4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75" fontId="73" fillId="4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73" fillId="13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9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0" fillId="1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43" fillId="20" borderId="1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link" xfId="20"/>
  </cellStyles>
  <dxfs count="37">
    <dxf>
      <font>
        <color rgb="FF1E7B4C"/>
      </font>
    </dxf>
    <dxf>
      <font>
        <color rgb="FF9A6700"/>
      </font>
    </dxf>
    <dxf>
      <font>
        <b val="1"/>
        <color rgb="FFFFFFFF"/>
      </font>
      <fill>
        <patternFill>
          <bgColor rgb="FFB42318"/>
        </patternFill>
      </fill>
    </dxf>
    <dxf>
      <font>
        <b val="1"/>
        <color rgb="FFFFFFFF"/>
      </font>
      <fill>
        <patternFill>
          <bgColor rgb="FFC98A12"/>
        </patternFill>
      </fill>
    </dxf>
    <dxf>
      <font>
        <b val="1"/>
        <color rgb="FFFFFFFF"/>
      </font>
      <fill>
        <patternFill>
          <bgColor rgb="FF8A94A3"/>
        </patternFill>
      </fill>
    </dxf>
    <dxf>
      <font>
        <b val="1"/>
        <color rgb="FFB42318"/>
      </font>
    </dxf>
    <dxf>
      <font>
        <b val="1"/>
        <color rgb="FF9A6700"/>
      </font>
    </dxf>
    <dxf>
      <font>
        <b val="1"/>
        <color rgb="FFB42318"/>
      </font>
      <fill>
        <patternFill>
          <bgColor rgb="FFFBEAE8"/>
        </patternFill>
      </fill>
    </dxf>
    <dxf>
      <font>
        <b val="1"/>
        <color rgb="FF9A6700"/>
      </font>
      <fill>
        <patternFill>
          <bgColor rgb="FFFDF3DC"/>
        </patternFill>
      </fill>
    </dxf>
    <dxf>
      <font>
        <color rgb="FF8A94A3"/>
      </font>
    </dxf>
    <dxf>
      <font>
        <b val="1"/>
        <color rgb="FF8A94A3"/>
      </font>
    </dxf>
    <dxf>
      <font>
        <b val="1"/>
        <color rgb="FF1E7B4C"/>
      </font>
    </dxf>
    <dxf>
      <fill>
        <patternFill patternType="solid">
          <fgColor rgb="FF3440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44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1E7B4C"/>
          <bgColor rgb="FF000000"/>
        </patternFill>
      </fill>
    </dxf>
    <dxf>
      <fill>
        <patternFill patternType="solid">
          <fgColor rgb="FF8A94A3"/>
          <bgColor rgb="FF000000"/>
        </patternFill>
      </fill>
    </dxf>
    <dxf>
      <fill>
        <patternFill patternType="solid">
          <fgColor rgb="FF9A6700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EEF0F3"/>
          <bgColor rgb="FF000000"/>
        </patternFill>
      </fill>
    </dxf>
    <dxf>
      <fill>
        <patternFill patternType="solid">
          <fgColor rgb="FFFBEAE8"/>
          <bgColor rgb="FF000000"/>
        </patternFill>
      </fill>
    </dxf>
    <dxf>
      <fill>
        <patternFill patternType="solid">
          <fgColor rgb="FFFDF3DC"/>
          <bgColor rgb="FF000000"/>
        </patternFill>
      </fill>
    </dxf>
    <dxf>
      <fill>
        <patternFill patternType="solid">
          <fgColor rgb="FFC5CBD3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ont>
        <b val="1"/>
        <color rgb="FF8A94A3"/>
      </font>
      <fill>
        <patternFill>
          <bgColor rgb="FFEEF0F3"/>
        </patternFill>
      </fill>
    </dxf>
    <dxf>
      <font>
        <b val="1"/>
        <color rgb="FF2F5597"/>
      </font>
    </dxf>
    <dxf>
      <font>
        <color rgb="FFB42318"/>
      </font>
    </dxf>
    <dxf>
      <font>
        <color rgb="FFC5CBD3"/>
      </font>
    </dxf>
    <dxf>
      <font>
        <b val="1"/>
        <color rgb="FF6B7280"/>
      </font>
      <fill>
        <patternFill>
          <bgColor rgb="FFEEF0F3"/>
        </patternFill>
      </fill>
    </dxf>
    <dxf>
      <font>
        <b val="1"/>
        <color rgb="FF1E7B4C"/>
      </font>
      <fill>
        <patternFill>
          <bgColor rgb="FFE6F4E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2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BEAE8"/>
      <rgbColor rgb="FFFF00FF"/>
      <rgbColor rgb="FFF3F5F8"/>
      <rgbColor rgb="FF9C0006"/>
      <rgbColor rgb="FF5B6573"/>
      <rgbColor rgb="FF000080"/>
      <rgbColor rgb="FF9A6700"/>
      <rgbColor rgb="FF800080"/>
      <rgbColor rgb="FF007DA6"/>
      <rgbColor rgb="FFBFC6D1"/>
      <rgbColor rgb="FF8B8B8B"/>
      <rgbColor rgb="FF8EA9D6"/>
      <rgbColor rgb="FF595959"/>
      <rgbColor rgb="FFFDF3DC"/>
      <rgbColor rgb="FFE6F4EC"/>
      <rgbColor rgb="FF660066"/>
      <rgbColor rgb="FFE6E9EF"/>
      <rgbColor rgb="FF0563C1"/>
      <rgbColor rgb="FFC9D3E6"/>
      <rgbColor rgb="FF000080"/>
      <rgbColor rgb="FFFF00FF"/>
      <rgbColor rgb="FFE7E6E6"/>
      <rgbColor rgb="FFF4F7FB"/>
      <rgbColor rgb="FF800080"/>
      <rgbColor rgb="FF800000"/>
      <rgbColor rgb="FF1E7B4C"/>
      <rgbColor rgb="FF0000FF"/>
      <rgbColor rgb="FFF7F9FC"/>
      <rgbColor rgb="FFE8EEF7"/>
      <rgbColor rgb="FFE4E8EF"/>
      <rgbColor rgb="FFFFEB9C"/>
      <rgbColor rgb="FFADB9CA"/>
      <rgbColor rgb="FFC5CBD3"/>
      <rgbColor rgb="FF9FB0CC"/>
      <rgbColor rgb="FFFFC7CE"/>
      <rgbColor rgb="FF2F5597"/>
      <rgbColor rgb="FF6B7280"/>
      <rgbColor rgb="FFEEF0F3"/>
      <rgbColor rgb="FFDDE2EA"/>
      <rgbColor rgb="FFC98A12"/>
      <rgbColor rgb="FFFF6600"/>
      <rgbColor rgb="FF5B6B85"/>
      <rgbColor rgb="FF8A94A3"/>
      <rgbColor rgb="FF0B2F57"/>
      <rgbColor rgb="FF4E739A"/>
      <rgbColor rgb="FF003300"/>
      <rgbColor rgb="FF1F2A44"/>
      <rgbColor rgb="FFB42318"/>
      <rgbColor rgb="FF9C6500"/>
      <rgbColor rgb="FF34405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'_AUX DASH'!D19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8ea9d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1f2a44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'_AUX DASH'!$B$20:$B$31</c:f>
              <c:strCache>
                <c:ptCount val="12"/>
                <c:pt idx="0">
                  <c:v>out/26</c:v>
                </c:pt>
                <c:pt idx="1">
                  <c:v>nov/26</c:v>
                </c:pt>
                <c:pt idx="2">
                  <c:v>dez/26</c:v>
                </c:pt>
                <c:pt idx="3">
                  <c:v>jan/27</c:v>
                </c:pt>
                <c:pt idx="4">
                  <c:v>fev/27</c:v>
                </c:pt>
                <c:pt idx="5">
                  <c:v>mar/27</c:v>
                </c:pt>
                <c:pt idx="6">
                  <c:v>abr/27</c:v>
                </c:pt>
                <c:pt idx="7">
                  <c:v>mai/27</c:v>
                </c:pt>
                <c:pt idx="8">
                  <c:v>jun/27</c:v>
                </c:pt>
                <c:pt idx="9">
                  <c:v>jul/27</c:v>
                </c:pt>
                <c:pt idx="10">
                  <c:v>ago/27</c:v>
                </c:pt>
                <c:pt idx="11">
                  <c:v>set/27</c:v>
                </c:pt>
              </c:strCache>
            </c:strRef>
          </c:cat>
          <c:val>
            <c:numRef>
              <c:f>'_AUX DASH'!$D$20:$D$31</c:f>
              <c:numCache>
                <c:formatCode>0;;;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</c:ser>
        <c:ser>
          <c:idx val="1"/>
          <c:order val="1"/>
          <c:tx>
            <c:strRef>
              <c:f>'_AUX DASH'!E19</c:f>
              <c:strCache>
                <c:ptCount val="1"/>
                <c:pt idx="0">
                  <c:v>Concentração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'_AUX DASH'!$B$20:$B$31</c:f>
              <c:strCache>
                <c:ptCount val="12"/>
                <c:pt idx="0">
                  <c:v>out/26</c:v>
                </c:pt>
                <c:pt idx="1">
                  <c:v>nov/26</c:v>
                </c:pt>
                <c:pt idx="2">
                  <c:v>dez/26</c:v>
                </c:pt>
                <c:pt idx="3">
                  <c:v>jan/27</c:v>
                </c:pt>
                <c:pt idx="4">
                  <c:v>fev/27</c:v>
                </c:pt>
                <c:pt idx="5">
                  <c:v>mar/27</c:v>
                </c:pt>
                <c:pt idx="6">
                  <c:v>abr/27</c:v>
                </c:pt>
                <c:pt idx="7">
                  <c:v>mai/27</c:v>
                </c:pt>
                <c:pt idx="8">
                  <c:v>jun/27</c:v>
                </c:pt>
                <c:pt idx="9">
                  <c:v>jul/27</c:v>
                </c:pt>
                <c:pt idx="10">
                  <c:v>ago/27</c:v>
                </c:pt>
                <c:pt idx="11">
                  <c:v>set/27</c:v>
                </c:pt>
              </c:strCache>
            </c:strRef>
          </c:cat>
          <c:val>
            <c:numRef>
              <c:f>'_AUX DASH'!$E$20:$E$31</c:f>
              <c:numCache>
                <c:formatCode>0;;;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5"/>
        <c:overlap val="100"/>
        <c:axId val="6935568"/>
        <c:axId val="25103952"/>
      </c:barChart>
      <c:catAx>
        <c:axId val="693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dde2ea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5103952"/>
        <c:crosses val="autoZero"/>
        <c:auto val="1"/>
        <c:lblAlgn val="ctr"/>
        <c:lblOffset val="100"/>
        <c:noMultiLvlLbl val="0"/>
      </c:catAx>
      <c:valAx>
        <c:axId val="25103952"/>
        <c:scaling>
          <c:orientation val="minMax"/>
        </c:scaling>
        <c:delete val="1"/>
        <c:axPos val="l"/>
        <c:numFmt formatCode="0;;;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935568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'_AUX DASH'!$A$35:$A$41</c:f>
              <c:strCache>
                <c:ptCount val="7"/>
                <c:pt idx="0">
                  <c:v>Q4</c:v>
                </c:pt>
                <c:pt idx="1">
                  <c:v>AOL</c:v>
                </c:pt>
                <c:pt idx="2">
                  <c:v>PE</c:v>
                </c:pt>
                <c:pt idx="3">
                  <c:v>COMUM</c:v>
                </c:pt>
                <c:pt idx="4">
                  <c:v>PP</c:v>
                </c:pt>
                <c:pt idx="5">
                  <c:v>PE/PP</c:v>
                </c:pt>
                <c:pt idx="6">
                  <c:v>Q4/AOL</c:v>
                </c:pt>
              </c:strCache>
            </c:strRef>
          </c:cat>
          <c:val>
            <c:numRef>
              <c:f>'_AUX DASH'!$B$35:$B$41</c:f>
              <c:numCache>
                <c:formatCode>General</c:formatCode>
                <c:ptCount val="7"/>
                <c:pt idx="0">
                  <c:v>58</c:v>
                </c:pt>
                <c:pt idx="1">
                  <c:v>23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3</c:v>
                </c:pt>
              </c:numCache>
            </c:numRef>
          </c:val>
        </c:ser>
        <c:gapWidth val="40"/>
        <c:overlap val="0"/>
        <c:axId val="98148039"/>
        <c:axId val="11421935"/>
      </c:barChart>
      <c:catAx>
        <c:axId val="9814803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dde2ea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421935"/>
        <c:crosses val="autoZero"/>
        <c:auto val="1"/>
        <c:lblAlgn val="ctr"/>
        <c:lblOffset val="100"/>
        <c:noMultiLvlLbl val="0"/>
      </c:catAx>
      <c:valAx>
        <c:axId val="114219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148039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15</xdr:row>
      <xdr:rowOff>0</xdr:rowOff>
    </xdr:from>
    <xdr:to>
      <xdr:col>25</xdr:col>
      <xdr:colOff>8280</xdr:colOff>
      <xdr:row>21</xdr:row>
      <xdr:rowOff>158400</xdr:rowOff>
    </xdr:to>
    <xdr:graphicFrame>
      <xdr:nvGraphicFramePr>
        <xdr:cNvPr id="0" name="Chart 1"/>
        <xdr:cNvGraphicFramePr/>
      </xdr:nvGraphicFramePr>
      <xdr:xfrm>
        <a:off x="9086760" y="3705120"/>
        <a:ext cx="4463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7</xdr:col>
      <xdr:colOff>402120</xdr:colOff>
      <xdr:row>35</xdr:row>
      <xdr:rowOff>23760</xdr:rowOff>
    </xdr:to>
    <xdr:graphicFrame>
      <xdr:nvGraphicFramePr>
        <xdr:cNvPr id="1" name="Chart 2"/>
        <xdr:cNvGraphicFramePr/>
      </xdr:nvGraphicFramePr>
      <xdr:xfrm>
        <a:off x="176400" y="7877160"/>
        <a:ext cx="3743640" cy="18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66600</xdr:rowOff>
    </xdr:from>
    <xdr:to>
      <xdr:col>0</xdr:col>
      <xdr:colOff>1238040</xdr:colOff>
      <xdr:row>0</xdr:row>
      <xdr:rowOff>409320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76320" y="66600"/>
          <a:ext cx="1161720" cy="342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ela11" displayName="Tabela11" ref="A2:L10" headerRowCount="1" totalsRowCount="0" totalsRowShown="0">
  <autoFilter ref="A2:L10"/>
  <tableColumns count="12">
    <tableColumn id="1" name="Código no BDO"/>
    <tableColumn id="2" name="Número"/>
    <tableColumn id="3" name="Versão"/>
    <tableColumn id="4" name="Status do Documento "/>
    <tableColumn id="5" name="Centro"/>
    <tableColumn id="6" name="Abrangência"/>
    <tableColumn id="7" name="Validade"/>
    <tableColumn id="8" name="Meses para Vencimento"/>
    <tableColumn id="9" name="Área"/>
    <tableColumn id="10" name="Ingrante de Apoio"/>
    <tableColumn id="11" name="Responsável Aprovador"/>
    <tableColumn id="12" name="Comentário"/>
  </tableColumns>
</table>
</file>

<file path=xl/tables/table2.xml><?xml version="1.0" encoding="utf-8"?>
<table xmlns="http://schemas.openxmlformats.org/spreadsheetml/2006/main" id="2" name="Tabela5" displayName="Tabela5" ref="A2:L35" headerRowCount="1" totalsRowCount="0" totalsRowShown="0">
  <autoFilter ref="A2:L35"/>
  <tableColumns count="12">
    <tableColumn id="1" name="Tipo de DOC"/>
    <tableColumn id="2" name="Código Ndocs"/>
    <tableColumn id="3" name="Versão"/>
    <tableColumn id="4" name="Antigo Número"/>
    <tableColumn id="5" name="Título"/>
    <tableColumn id="6" name="Status "/>
    <tableColumn id="7" name="Validade"/>
    <tableColumn id="8" name="Área"/>
    <tableColumn id="9" name="Abrangência"/>
    <tableColumn id="10" name="Responsável Aprovador"/>
    <tableColumn id="11" name="Documento principal"/>
    <tableColumn id="12" name="Comentários"/>
  </tableColumns>
</table>
</file>

<file path=xl/tables/table3.xml><?xml version="1.0" encoding="utf-8"?>
<table xmlns="http://schemas.openxmlformats.org/spreadsheetml/2006/main" id="3" name="Tabela9" displayName="Tabela9" ref="A2:L139" headerRowCount="1" totalsRowCount="0" totalsRowShown="0">
  <autoFilter ref="A2:L139"/>
  <tableColumns count="12">
    <tableColumn id="1" name="Tipo DOC"/>
    <tableColumn id="2" name="Código Ndocs"/>
    <tableColumn id="3" name="Versão"/>
    <tableColumn id="4" name="Antigo Número"/>
    <tableColumn id="5" name="Título"/>
    <tableColumn id="6" name="Status "/>
    <tableColumn id="7" name="Validade"/>
    <tableColumn id="8" name="Área"/>
    <tableColumn id="9" name="Abrangência"/>
    <tableColumn id="10" name="Responsável "/>
    <tableColumn id="11" name="Norma"/>
    <tableColumn id="12" name="Comentários"/>
  </tableColumns>
</table>
</file>

<file path=xl/tables/table4.xml><?xml version="1.0" encoding="utf-8"?>
<table xmlns="http://schemas.openxmlformats.org/spreadsheetml/2006/main" id="4" name="Tabela911" displayName="Tabela911" ref="A2:L140" headerRowCount="1" totalsRowCount="0" totalsRowShown="0">
  <autoFilter ref="A2:L140"/>
  <tableColumns count="12">
    <tableColumn id="1" name="Tipo DOC"/>
    <tableColumn id="2" name="Código Ndocs"/>
    <tableColumn id="3" name="Versão"/>
    <tableColumn id="4" name="Antigo Número"/>
    <tableColumn id="5" name="Título"/>
    <tableColumn id="6" name="Status "/>
    <tableColumn id="7" name="Validade"/>
    <tableColumn id="8" name="Área"/>
    <tableColumn id="9" name="Abrangência"/>
    <tableColumn id="10" name="Responsável "/>
    <tableColumn id="11" name="Norma"/>
    <tableColumn id="12" name="Comentários"/>
  </tableColumns>
</table>
</file>

<file path=xl/tables/table5.xml><?xml version="1.0" encoding="utf-8"?>
<table xmlns="http://schemas.openxmlformats.org/spreadsheetml/2006/main" id="5" name="Tabela913" displayName="Tabela913" ref="A2:L63" headerRowCount="1" totalsRowCount="0" totalsRowShown="0">
  <autoFilter ref="A2:L63"/>
  <tableColumns count="12">
    <tableColumn id="1" name="Tipo DOC"/>
    <tableColumn id="2" name="Código Ndocs"/>
    <tableColumn id="3" name="Versão"/>
    <tableColumn id="4" name="Antigo Número"/>
    <tableColumn id="5" name="Título"/>
    <tableColumn id="6" name="Status "/>
    <tableColumn id="7" name="Validade"/>
    <tableColumn id="8" name="Área"/>
    <tableColumn id="9" name="Abrangência"/>
    <tableColumn id="10" name="Responsável "/>
    <tableColumn id="11" name="Norma"/>
    <tableColumn id="12" name="Comentários"/>
  </tableColumns>
</table>
</file>

<file path=xl/tables/table6.xml><?xml version="1.0" encoding="utf-8"?>
<table xmlns="http://schemas.openxmlformats.org/spreadsheetml/2006/main" id="6" name="Tabela91314" displayName="Tabela91314" ref="A2:L33" headerRowCount="1" totalsRowCount="0" totalsRowShown="0">
  <autoFilter ref="A2:L33"/>
  <tableColumns count="12">
    <tableColumn id="1" name="Tipo DOC"/>
    <tableColumn id="2" name="Código Ndocs"/>
    <tableColumn id="3" name="Versão"/>
    <tableColumn id="4" name="Antigo Número"/>
    <tableColumn id="5" name="Título"/>
    <tableColumn id="6" name="Status "/>
    <tableColumn id="7" name="Validade"/>
    <tableColumn id="8" name="Área"/>
    <tableColumn id="9" name="Abrangência"/>
    <tableColumn id="10" name="Responsável "/>
    <tableColumn id="11" name="Norma"/>
    <tableColumn id="12" name="Comentários"/>
  </tableColumns>
</table>
</file>

<file path=xl/tables/table7.xml><?xml version="1.0" encoding="utf-8"?>
<table xmlns="http://schemas.openxmlformats.org/spreadsheetml/2006/main" id="7" name="Tabela92" displayName="Tabela92" ref="A2:G124" headerRowCount="1" totalsRowCount="0" totalsRowShown="0">
  <tableColumns count="7">
    <tableColumn id="1" name="Descrição"/>
    <tableColumn id="2" name="Número"/>
    <tableColumn id="3" name="Data Publicação"/>
    <tableColumn id="4" name="Área"/>
    <tableColumn id="5" name="Ingrante de Apoio"/>
    <tableColumn id="6" name="Responsável Aprovador"/>
    <tableColumn id="7" name="Comentários"/>
  </tableColumns>
</table>
</file>

<file path=xl/tables/table8.xml><?xml version="1.0" encoding="utf-8"?>
<table xmlns="http://schemas.openxmlformats.org/spreadsheetml/2006/main" id="8" name="Tabela923" displayName="Tabela923" ref="A2:F43" headerRowCount="1" totalsRowCount="0" totalsRowShown="0">
  <tableColumns count="6">
    <tableColumn id="1" name="Descrição"/>
    <tableColumn id="2" name="Data Publicação"/>
    <tableColumn id="3" name="Área"/>
    <tableColumn id="4" name="Ingrante de Apoio"/>
    <tableColumn id="5" name="Responsável Aprovador"/>
    <tableColumn id="6" name="Comentários"/>
  </tableColumns>
</table>
</file>

<file path=xl/tables/table9.xml><?xml version="1.0" encoding="utf-8"?>
<table xmlns="http://schemas.openxmlformats.org/spreadsheetml/2006/main" id="9" name="Tabela9234" displayName="Tabela9234" ref="A2:F43" headerRowCount="1" totalsRowCount="0" totalsRowShown="0">
  <tableColumns count="6">
    <tableColumn id="1" name="Descrição"/>
    <tableColumn id="2" name="Data Publicação"/>
    <tableColumn id="3" name="Área"/>
    <tableColumn id="4" name="Ingrante de Apoio"/>
    <tableColumn id="5" name="Responsável Aprovador"/>
    <tableColumn id="6" name="Comentários"/>
  </tableColumns>
</table>
</file>

<file path=xl/tables/table10.xml><?xml version="1.0" encoding="utf-8"?>
<table xmlns="http://schemas.openxmlformats.org/spreadsheetml/2006/main" id="10" name="Tabela92345" displayName="Tabela92345" ref="D2:E53" headerRowCount="1" totalsRowCount="0" totalsRowShown="0">
  <tableColumns count="2">
    <tableColumn id="1" name="Descrição"/>
    <tableColumn id="2" name="Comentários"/>
  </tableColumns>
</table>
</file>

<file path=xl/tables/table11.xml><?xml version="1.0" encoding="utf-8"?>
<table xmlns="http://schemas.openxmlformats.org/spreadsheetml/2006/main" id="11" name="Tabela979" displayName="Tabela979" ref="A2:L32" headerRowCount="1" totalsRowCount="0" totalsRowShown="0">
  <autoFilter ref="A2:L32"/>
  <tableColumns count="12">
    <tableColumn id="1" name="Tipo DOC"/>
    <tableColumn id="2" name="Código Ndocs"/>
    <tableColumn id="3" name="Versão"/>
    <tableColumn id="4" name="Antigo Número"/>
    <tableColumn id="5" name="Título"/>
    <tableColumn id="6" name="Status "/>
    <tableColumn id="7" name="Validade"/>
    <tableColumn id="8" name="Área"/>
    <tableColumn id="9" name="Abrangência"/>
    <tableColumn id="10" name="Responsável "/>
    <tableColumn id="11" name="Norma"/>
    <tableColumn id="12" name="Comentários"/>
  </tableColumns>
</table>
</file>

<file path=xl/tables/table12.xml><?xml version="1.0" encoding="utf-8"?>
<table xmlns="http://schemas.openxmlformats.org/spreadsheetml/2006/main" id="12" name="Tabela98" displayName="Tabela98" ref="A2:L12" headerRowCount="1" totalsRowCount="0" totalsRowShown="0">
  <autoFilter ref="A2:L12"/>
  <tableColumns count="12">
    <tableColumn id="1" name="Tipo DOC"/>
    <tableColumn id="2" name="Código Ndocs"/>
    <tableColumn id="3" name="Versão"/>
    <tableColumn id="4" name="Antigo Número"/>
    <tableColumn id="5" name="Título"/>
    <tableColumn id="6" name="Status "/>
    <tableColumn id="7" name="Validade"/>
    <tableColumn id="8" name="Área"/>
    <tableColumn id="9" name="Abrangência"/>
    <tableColumn id="10" name="Responsável "/>
    <tableColumn id="11" name="Norma"/>
    <tableColumn id="12" name="Comentários"/>
  </tableColumns>
</table>
</file>

<file path=xl/tables/table13.xml><?xml version="1.0" encoding="utf-8"?>
<table xmlns="http://schemas.openxmlformats.org/spreadsheetml/2006/main" id="13" name="Tabela9817" displayName="Tabela9817" ref="A2:F15" headerRowCount="1" totalsRowCount="0" totalsRowShown="0">
  <tableColumns count="6">
    <tableColumn id="1" name="Tipo DOC"/>
    <tableColumn id="2" name="Código"/>
    <tableColumn id="3" name="Título"/>
    <tableColumn id="4" name="Data"/>
    <tableColumn id="5" name="Área"/>
    <tableColumn id="6" name="Autores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../../../SITES/APP-NDOCS/LIBRARYWORKINSTRUCTION/BRK/PT/BRK-INS-01-014678-PT.pdf" TargetMode="External"/><Relationship Id="rId2" Type="http://schemas.openxmlformats.org/officeDocument/2006/relationships/hyperlink" Target="http://appl/sites/bdo/DocumentacaoOrientadora/IT%205020-02302.docx" TargetMode="External"/><Relationship Id="rId3" Type="http://schemas.openxmlformats.org/officeDocument/2006/relationships/hyperlink" Target="http://appl/sites/bdo/DocumentacaoOrientadora/IT%205020-02364.docx" TargetMode="External"/><Relationship Id="rId4" Type="http://schemas.openxmlformats.org/officeDocument/2006/relationships/hyperlink" Target="http://appl/sites/bdo/DocumentacaoOrientadora/IT%205020-02365.docx" TargetMode="External"/><Relationship Id="rId5" Type="http://schemas.openxmlformats.org/officeDocument/2006/relationships/hyperlink" Target="http://appl/sites/bdo/DocumentacaoOrientadora/IT%206020-00839.docx" TargetMode="External"/><Relationship Id="rId6" Type="http://schemas.openxmlformats.org/officeDocument/2006/relationships/hyperlink" Target="http://appl/sites/bdo/DocumentacaoOrientadora/DE%201100-00001.docx" TargetMode="External"/><Relationship Id="rId7" Type="http://schemas.openxmlformats.org/officeDocument/2006/relationships/hyperlink" Target="http://appl/sites/bdo/DocumentacaoOrientadora/DE%201100-00001.docx" TargetMode="External"/><Relationship Id="rId8" Type="http://schemas.openxmlformats.org/officeDocument/2006/relationships/hyperlink" Target="../../../SITES/APP-NDOCS/LIBRARYPROCEDURE/BRK/PT/BRK-PRO-01-001525-PT.pdf" TargetMode="External"/><Relationship Id="rId9" Type="http://schemas.openxmlformats.org/officeDocument/2006/relationships/hyperlink" Target="../../../SITES/APP-NDOCS/LIBRARYWORKINSTRUCTION/BRK/PT/BRK-INS-01-012871-PT.pdf" TargetMode="External"/><Relationship Id="rId10" Type="http://schemas.openxmlformats.org/officeDocument/2006/relationships/hyperlink" Target="../../../SITES/APP-NDOCS/LIBRARYINDUSTRIALWORKINSTRUCTION/BRK/PT/BRK-ITI-01-005590-PT.pdf" TargetMode="External"/><Relationship Id="rId11" Type="http://schemas.openxmlformats.org/officeDocument/2006/relationships/hyperlink" Target="../../../SITES/APP-NDOCS/LIBRARYWORKINSTRUCTION/BRK/PT/BRK-INS-01-018355-PT.pdf" TargetMode="External"/><Relationship Id="rId12" Type="http://schemas.openxmlformats.org/officeDocument/2006/relationships/hyperlink" Target="../../../SITES/APP-NDOCS/LIBRARYPROCEDURE/BRK/PT/BRK-PRO-01-001491-PT.pdf" TargetMode="External"/><Relationship Id="rId13" Type="http://schemas.openxmlformats.org/officeDocument/2006/relationships/hyperlink" Target="../../../sites/APP-NDOCS/_layouts/15/Doc.aspx%3Fsourcedoc=%7B9bc39cc1-e1a2-48e1-aae4-b494406d077f%7D&amp;action=interactivepreview" TargetMode="External"/><Relationship Id="rId14" Type="http://schemas.openxmlformats.org/officeDocument/2006/relationships/hyperlink" Target="../../../sites/APP-NDOCS/_layouts/15/Doc.aspx%3Fsourcedoc=%7B7c0d64ad-07fa-4f25-8894-d41bfc679572%7D&amp;action=view" TargetMode="External"/><Relationship Id="rId15" Type="http://schemas.openxmlformats.org/officeDocument/2006/relationships/hyperlink" Target="../../../sites/APP-NDOCS/_layouts/15/Doc.aspx%3Fsourcedoc=%7B7c0d64ad-07fa-4f25-8894-d41bfc679572%7D&amp;action=view" TargetMode="External"/><Relationship Id="rId16" Type="http://schemas.openxmlformats.org/officeDocument/2006/relationships/hyperlink" Target="../../../sites/APP-NDOCS/_layouts/15/Doc.aspx%3Fsourcedoc=%7B5dac40ff-c2bf-4d10-b60f-5cdf99679de5%7D&amp;action=interactivepreview" TargetMode="External"/><Relationship Id="rId17" Type="http://schemas.openxmlformats.org/officeDocument/2006/relationships/hyperlink" Target="../../../SITES/APP-NDOCS/LIBRARYPROCEDURE/BRK/PT/BRK-PRO-01-001501-PT.pdf" TargetMode="External"/><Relationship Id="rId18" Type="http://schemas.openxmlformats.org/officeDocument/2006/relationships/hyperlink" Target="../../../SITES/APP-NDOCS/LIBRARYPOLICY/BRK/PT/BRK-POL-00-000312-PT.pdf" TargetMode="External"/><Relationship Id="rId19" Type="http://schemas.openxmlformats.org/officeDocument/2006/relationships/hyperlink" Target="../../../SITES/APP-NDOCS/LIBRARYGLOBALSTANDARD/BRK/PT/BRK-GST-01-000214-PT.pdf" TargetMode="External"/><Relationship Id="rId20" Type="http://schemas.openxmlformats.org/officeDocument/2006/relationships/drawing" Target="../drawings/drawing9.xml"/><Relationship Id="rId21" Type="http://schemas.openxmlformats.org/officeDocument/2006/relationships/table" Target="../tables/table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9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hyperlink" Target="http://appl.braskem.com/sites/bdo/DocumentacaoOrientadora/MO%205010-00091.docx" TargetMode="External"/><Relationship Id="rId3" Type="http://schemas.openxmlformats.org/officeDocument/2006/relationships/hyperlink" Target="http://appl.braskem.com/sites/bdo/DocumentacaoOrientadora/MO%205010-00100-PT.docx" TargetMode="External"/><Relationship Id="rId4" Type="http://schemas.openxmlformats.org/officeDocument/2006/relationships/hyperlink" Target="http://appl.braskem.com/sites/bdo/DocumentacaoOrientadora/MO%205010-00101.docx" TargetMode="External"/><Relationship Id="rId5" Type="http://schemas.openxmlformats.org/officeDocument/2006/relationships/hyperlink" Target="http://appl.braskem.com/sites/bdo/DocumentacaoOrientadora/MO%205010-00102.docx" TargetMode="External"/><Relationship Id="rId6" Type="http://schemas.openxmlformats.org/officeDocument/2006/relationships/drawing" Target="../drawings/drawing14.xml"/><Relationship Id="rId7" Type="http://schemas.openxmlformats.org/officeDocument/2006/relationships/vmlDrawing" Target="../drawings/vmlDrawing1.vml"/><Relationship Id="rId8" Type="http://schemas.openxmlformats.org/officeDocument/2006/relationships/table" Target="../tables/table1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table" Target="../tables/table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table" Target="../tables/table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O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2.5"/>
    <col collapsed="false" customWidth="true" hidden="false" outlineLevel="0" max="14" min="14" style="0" width="3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5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3"/>
      <c r="K2" s="4" t="s">
        <v>1</v>
      </c>
      <c r="L2" s="4"/>
      <c r="M2" s="4"/>
      <c r="N2" s="1"/>
      <c r="O2" s="1"/>
    </row>
    <row r="3" customFormat="false" ht="21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3"/>
      <c r="K3" s="4"/>
      <c r="L3" s="4"/>
      <c r="M3" s="4"/>
      <c r="N3" s="1"/>
      <c r="O3" s="1"/>
    </row>
    <row r="4" customFormat="false" ht="24" hidden="false" customHeight="true" outlineLevel="0" collapsed="false">
      <c r="A4" s="1"/>
      <c r="B4" s="5" t="s">
        <v>2</v>
      </c>
      <c r="C4" s="5"/>
      <c r="D4" s="5"/>
      <c r="E4" s="5"/>
      <c r="F4" s="5"/>
      <c r="G4" s="5"/>
      <c r="H4" s="5"/>
      <c r="I4" s="5"/>
      <c r="J4" s="3"/>
      <c r="K4" s="6" t="n">
        <f aca="false">DataRef</f>
        <v>46301</v>
      </c>
      <c r="L4" s="6"/>
      <c r="M4" s="6"/>
      <c r="N4" s="1"/>
      <c r="O4" s="1"/>
    </row>
    <row r="5" customFormat="false" ht="18" hidden="false" customHeight="true" outlineLevel="0" collapsed="false">
      <c r="A5" s="1"/>
      <c r="B5" s="7" t="s">
        <v>3</v>
      </c>
      <c r="C5" s="7"/>
      <c r="D5" s="7"/>
      <c r="E5" s="7"/>
      <c r="F5" s="7"/>
      <c r="G5" s="7"/>
      <c r="H5" s="7"/>
      <c r="I5" s="7"/>
      <c r="J5" s="3"/>
      <c r="K5" s="3"/>
      <c r="L5" s="3"/>
      <c r="M5" s="3"/>
      <c r="N5" s="1"/>
      <c r="O5" s="1"/>
    </row>
    <row r="6" customFormat="false" ht="9.75" hidden="false" customHeight="true" outlineLevel="0" collapsed="false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customFormat="false" ht="13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25.5" hidden="false" customHeight="true" outlineLevel="0" collapsed="false">
      <c r="A8" s="1"/>
      <c r="B8" s="8" t="s">
        <v>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"/>
      <c r="O8" s="1"/>
    </row>
    <row r="9" customFormat="false" ht="7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21.75" hidden="false" customHeight="true" outlineLevel="0" collapsed="false">
      <c r="A10" s="1"/>
      <c r="B10" s="9" t="s">
        <v>5</v>
      </c>
      <c r="C10" s="9"/>
      <c r="D10" s="9"/>
      <c r="E10" s="10" t="s">
        <v>6</v>
      </c>
      <c r="F10" s="10"/>
      <c r="G10" s="11" t="s">
        <v>7</v>
      </c>
      <c r="H10" s="11"/>
      <c r="I10" s="11"/>
      <c r="J10" s="12" t="s">
        <v>8</v>
      </c>
      <c r="K10" s="12"/>
      <c r="L10" s="13" t="s">
        <v>9</v>
      </c>
      <c r="M10" s="13"/>
      <c r="N10" s="1"/>
      <c r="O10" s="1"/>
    </row>
    <row r="11" customFormat="false" ht="43.5" hidden="false" customHeight="true" outlineLevel="0" collapsed="false">
      <c r="A11" s="1"/>
      <c r="B11" s="14" t="n">
        <f aca="false">COUNTA('BASE CONSOLIDADA'!$A$5:$A$129)</f>
        <v>125</v>
      </c>
      <c r="C11" s="14"/>
      <c r="D11" s="14"/>
      <c r="E11" s="15" t="n">
        <f aca="false">COUNTIF('BASE CONSOLIDADA'!$N$5:$N$129,"Aprovado")</f>
        <v>117</v>
      </c>
      <c r="F11" s="15"/>
      <c r="G11" s="16" t="n">
        <f aca="false">COUNTIF('BASE CONSOLIDADA'!$R$5:$R$129,"Ação imediata")</f>
        <v>1</v>
      </c>
      <c r="H11" s="16"/>
      <c r="I11" s="16"/>
      <c r="J11" s="17" t="n">
        <f aca="false">COUNTIFS('BASE CONSOLIDADA'!$N$5:$N$129,"Aprovado",'BASE CONSOLIDADA'!$O$5:$O$129,"&gt;="&amp;DataRef,'BASE CONSOLIDADA'!$O$5:$O$129,"&lt;="&amp;EDATE(DataRef,12))</f>
        <v>12</v>
      </c>
      <c r="K11" s="17"/>
      <c r="L11" s="18" t="n">
        <f aca="false">IFERROR((COUNTIF('BASE CONSOLIDADA'!$R$5:$R$129,"Regular")+COUNTIF('BASE CONSOLIDADA'!$R$5:$R$129,"Planejar revisão"))/COUNTIF('BASE CONSOLIDADA'!$R$5:$R$129,"&lt;&gt;Inativo"),0)</f>
        <v>0.950819672131148</v>
      </c>
      <c r="M11" s="18"/>
      <c r="N11" s="1"/>
      <c r="O11" s="1"/>
    </row>
    <row r="12" customFormat="false" ht="18" hidden="false" customHeight="true" outlineLevel="0" collapsed="false">
      <c r="A12" s="1"/>
      <c r="B12" s="19" t="str">
        <f aca="false">"únicas · "&amp;COUNTIF('BASE CONSOLIDADA'!$R$5:$R$129,"&lt;&gt;Inativo")&amp;" ativas"</f>
        <v>únicas · 122 ativas</v>
      </c>
      <c r="C12" s="19"/>
      <c r="D12" s="19"/>
      <c r="E12" s="19" t="str">
        <f aca="false">"status oficial NDocs"</f>
        <v>status oficial NDocs</v>
      </c>
      <c r="F12" s="19"/>
      <c r="G12" s="19" t="str">
        <f aca="false">"vencidas e ativas"</f>
        <v>vencidas e ativas</v>
      </c>
      <c r="H12" s="19"/>
      <c r="I12" s="19"/>
      <c r="J12" s="19" t="str">
        <f aca="false">"planejar revisão"</f>
        <v>planejar revisão</v>
      </c>
      <c r="K12" s="19"/>
      <c r="L12" s="19" t="str">
        <f aca="false">"aprovadas e válidas ÷ ativas"</f>
        <v>aprovadas e válidas ÷ ativas</v>
      </c>
      <c r="M12" s="19"/>
      <c r="N12" s="1"/>
      <c r="O12" s="1"/>
    </row>
    <row r="13" customFormat="false" ht="7.5" hidden="false" customHeight="true" outlineLevel="0" collapsed="false">
      <c r="A13" s="1"/>
      <c r="B13" s="20"/>
      <c r="C13" s="21"/>
      <c r="D13" s="22"/>
      <c r="E13" s="20"/>
      <c r="F13" s="22"/>
      <c r="G13" s="20"/>
      <c r="H13" s="21"/>
      <c r="I13" s="22"/>
      <c r="J13" s="20"/>
      <c r="K13" s="22"/>
      <c r="L13" s="20"/>
      <c r="M13" s="22"/>
      <c r="N13" s="1"/>
      <c r="O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25.5" hidden="false" customHeight="true" outlineLevel="0" collapsed="false">
      <c r="A15" s="1"/>
      <c r="B15" s="8" t="s">
        <v>10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1"/>
      <c r="O15" s="1"/>
    </row>
    <row r="16" customFormat="false" ht="7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33.75" hidden="false" customHeight="true" outlineLevel="0" collapsed="false">
      <c r="A17" s="1"/>
      <c r="B17" s="23" t="s">
        <v>11</v>
      </c>
      <c r="C17" s="23"/>
      <c r="D17" s="23"/>
      <c r="E17" s="23"/>
      <c r="F17" s="24" t="s">
        <v>12</v>
      </c>
      <c r="G17" s="24"/>
      <c r="H17" s="24"/>
      <c r="I17" s="24"/>
      <c r="J17" s="25" t="s">
        <v>13</v>
      </c>
      <c r="K17" s="25"/>
      <c r="L17" s="25"/>
      <c r="M17" s="25"/>
      <c r="N17" s="1"/>
      <c r="O17" s="1"/>
    </row>
    <row r="18" customFormat="false" ht="24" hidden="false" customHeight="true" outlineLevel="0" collapsed="false">
      <c r="A18" s="1"/>
      <c r="B18" s="26" t="s">
        <v>14</v>
      </c>
      <c r="C18" s="26"/>
      <c r="D18" s="26"/>
      <c r="E18" s="26"/>
      <c r="F18" s="26" t="s">
        <v>15</v>
      </c>
      <c r="G18" s="26"/>
      <c r="H18" s="26"/>
      <c r="I18" s="26"/>
      <c r="J18" s="26" t="s">
        <v>16</v>
      </c>
      <c r="K18" s="26"/>
      <c r="L18" s="26"/>
      <c r="M18" s="26"/>
      <c r="N18" s="1"/>
      <c r="O18" s="1"/>
    </row>
    <row r="19" customFormat="false" ht="33.75" hidden="false" customHeight="true" outlineLevel="0" collapsed="false">
      <c r="A19" s="1"/>
      <c r="B19" s="27" t="s">
        <v>17</v>
      </c>
      <c r="C19" s="27"/>
      <c r="D19" s="27"/>
      <c r="E19" s="27"/>
      <c r="F19" s="27" t="s">
        <v>18</v>
      </c>
      <c r="G19" s="27"/>
      <c r="H19" s="27"/>
      <c r="I19" s="27"/>
      <c r="J19" s="27" t="s">
        <v>19</v>
      </c>
      <c r="K19" s="27"/>
      <c r="L19" s="27"/>
      <c r="M19" s="27"/>
      <c r="N19" s="1"/>
      <c r="O19" s="1"/>
    </row>
    <row r="20" customFormat="false" ht="18" hidden="false" customHeight="true" outlineLevel="0" collapsed="false">
      <c r="A20" s="1"/>
      <c r="B20" s="28"/>
      <c r="C20" s="28"/>
      <c r="D20" s="28"/>
      <c r="E20" s="28"/>
      <c r="F20" s="29" t="str">
        <f aca="false">COUNTIF('BASE CONSOLIDADA'!$U$5:$U$129,"&gt;0")&amp;" documento(s) pedem atenção"</f>
        <v>6 documento(s) pedem atenção</v>
      </c>
      <c r="G20" s="29"/>
      <c r="H20" s="29"/>
      <c r="I20" s="29"/>
      <c r="J20" s="30"/>
      <c r="K20" s="30"/>
      <c r="L20" s="30"/>
      <c r="M20" s="30"/>
      <c r="N20" s="1"/>
      <c r="O20" s="1"/>
    </row>
    <row r="21" customFormat="false" ht="27.75" hidden="false" customHeight="true" outlineLevel="0" collapsed="false">
      <c r="A21" s="1"/>
      <c r="B21" s="31" t="s">
        <v>20</v>
      </c>
      <c r="C21" s="31"/>
      <c r="D21" s="31"/>
      <c r="E21" s="31"/>
      <c r="F21" s="31" t="s">
        <v>21</v>
      </c>
      <c r="G21" s="31"/>
      <c r="H21" s="31"/>
      <c r="I21" s="31"/>
      <c r="J21" s="31" t="s">
        <v>22</v>
      </c>
      <c r="K21" s="31"/>
      <c r="L21" s="31"/>
      <c r="M21" s="31"/>
      <c r="N21" s="1"/>
      <c r="O21" s="1"/>
    </row>
    <row r="22" customFormat="false" ht="9.75" hidden="false" customHeight="true" outlineLevel="0" collapsed="false">
      <c r="A22" s="1"/>
      <c r="B22" s="20"/>
      <c r="C22" s="21"/>
      <c r="D22" s="21"/>
      <c r="E22" s="22"/>
      <c r="F22" s="20"/>
      <c r="G22" s="21"/>
      <c r="H22" s="21"/>
      <c r="I22" s="22"/>
      <c r="J22" s="20"/>
      <c r="K22" s="21"/>
      <c r="L22" s="21"/>
      <c r="M22" s="22"/>
      <c r="N22" s="1"/>
      <c r="O22" s="1"/>
    </row>
    <row r="23" customFormat="false" ht="33.75" hidden="false" customHeight="true" outlineLevel="0" collapsed="false">
      <c r="A23" s="1"/>
      <c r="B23" s="25" t="s">
        <v>23</v>
      </c>
      <c r="C23" s="25"/>
      <c r="D23" s="25"/>
      <c r="E23" s="25"/>
      <c r="F23" s="32" t="s">
        <v>24</v>
      </c>
      <c r="G23" s="32"/>
      <c r="H23" s="32"/>
      <c r="I23" s="32"/>
      <c r="J23" s="33" t="s">
        <v>25</v>
      </c>
      <c r="K23" s="33"/>
      <c r="L23" s="33"/>
      <c r="M23" s="33"/>
      <c r="N23" s="1"/>
      <c r="O23" s="1"/>
    </row>
    <row r="24" customFormat="false" ht="24" hidden="false" customHeight="true" outlineLevel="0" collapsed="false">
      <c r="A24" s="1"/>
      <c r="B24" s="26" t="s">
        <v>26</v>
      </c>
      <c r="C24" s="26"/>
      <c r="D24" s="26"/>
      <c r="E24" s="26"/>
      <c r="F24" s="26" t="s">
        <v>27</v>
      </c>
      <c r="G24" s="26"/>
      <c r="H24" s="26"/>
      <c r="I24" s="26"/>
      <c r="J24" s="26" t="s">
        <v>28</v>
      </c>
      <c r="K24" s="26"/>
      <c r="L24" s="26"/>
      <c r="M24" s="26"/>
      <c r="N24" s="1"/>
      <c r="O24" s="1"/>
    </row>
    <row r="25" customFormat="false" ht="33.75" hidden="false" customHeight="true" outlineLevel="0" collapsed="false">
      <c r="A25" s="1"/>
      <c r="B25" s="27" t="s">
        <v>29</v>
      </c>
      <c r="C25" s="27"/>
      <c r="D25" s="27"/>
      <c r="E25" s="27"/>
      <c r="F25" s="27" t="s">
        <v>30</v>
      </c>
      <c r="G25" s="27"/>
      <c r="H25" s="27"/>
      <c r="I25" s="27"/>
      <c r="J25" s="27" t="s">
        <v>31</v>
      </c>
      <c r="K25" s="27"/>
      <c r="L25" s="27"/>
      <c r="M25" s="27"/>
      <c r="N25" s="1"/>
      <c r="O25" s="1"/>
    </row>
    <row r="26" customFormat="false" ht="18" hidden="false" customHeight="true" outlineLevel="0" collapsed="false">
      <c r="A26" s="1"/>
      <c r="B26" s="30" t="str">
        <f aca="false">COUNTA('BASE CONSOLIDADA'!$A$5:$A$129)&amp;" códigos únicos"</f>
        <v>125 códigos únicos</v>
      </c>
      <c r="C26" s="30"/>
      <c r="D26" s="30"/>
      <c r="E26" s="30"/>
      <c r="F26" s="34" t="str">
        <f aca="false">'QUALIDADE BASE'!E6&amp;" crítico · "&amp;'QUALIDADE BASE'!F6&amp;" atenção"</f>
        <v>1 crítico · 10 atenção</v>
      </c>
      <c r="G26" s="34"/>
      <c r="H26" s="34"/>
      <c r="I26" s="34"/>
      <c r="J26" s="35"/>
      <c r="K26" s="35"/>
      <c r="L26" s="35"/>
      <c r="M26" s="35"/>
      <c r="N26" s="1"/>
      <c r="O26" s="1"/>
    </row>
    <row r="27" customFormat="false" ht="27.75" hidden="false" customHeight="true" outlineLevel="0" collapsed="false">
      <c r="A27" s="1"/>
      <c r="B27" s="31" t="s">
        <v>32</v>
      </c>
      <c r="C27" s="31"/>
      <c r="D27" s="31"/>
      <c r="E27" s="31"/>
      <c r="F27" s="31" t="s">
        <v>33</v>
      </c>
      <c r="G27" s="31"/>
      <c r="H27" s="31"/>
      <c r="I27" s="31"/>
      <c r="J27" s="31" t="s">
        <v>34</v>
      </c>
      <c r="K27" s="31"/>
      <c r="L27" s="31"/>
      <c r="M27" s="31"/>
      <c r="N27" s="1"/>
      <c r="O27" s="1"/>
    </row>
    <row r="28" customFormat="false" ht="9.75" hidden="false" customHeight="true" outlineLevel="0" collapsed="false">
      <c r="A28" s="1"/>
      <c r="B28" s="20"/>
      <c r="C28" s="21"/>
      <c r="D28" s="21"/>
      <c r="E28" s="22"/>
      <c r="F28" s="20"/>
      <c r="G28" s="21"/>
      <c r="H28" s="21"/>
      <c r="I28" s="22"/>
      <c r="J28" s="20"/>
      <c r="K28" s="21"/>
      <c r="L28" s="21"/>
      <c r="M28" s="22"/>
      <c r="N28" s="1"/>
      <c r="O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customFormat="false" ht="25.5" hidden="false" customHeight="true" outlineLevel="0" collapsed="false">
      <c r="A30" s="1"/>
      <c r="B30" s="8" t="s">
        <v>35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1"/>
      <c r="O30" s="1"/>
    </row>
    <row r="31" customFormat="false" ht="7.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customFormat="false" ht="25.5" hidden="false" customHeight="true" outlineLevel="0" collapsed="false">
      <c r="A32" s="1"/>
      <c r="B32" s="36" t="s">
        <v>36</v>
      </c>
      <c r="C32" s="36"/>
      <c r="D32" s="36"/>
      <c r="E32" s="36" t="s">
        <v>37</v>
      </c>
      <c r="F32" s="36"/>
      <c r="G32" s="36"/>
      <c r="H32" s="36" t="s">
        <v>38</v>
      </c>
      <c r="I32" s="36"/>
      <c r="J32" s="36"/>
      <c r="K32" s="36" t="s">
        <v>39</v>
      </c>
      <c r="L32" s="36"/>
      <c r="M32" s="36"/>
      <c r="N32" s="1"/>
      <c r="O32" s="1"/>
    </row>
    <row r="33" customFormat="false" ht="31.5" hidden="false" customHeight="true" outlineLevel="0" collapsed="false">
      <c r="A33" s="1"/>
      <c r="B33" s="37" t="n">
        <f aca="false">COUNTIF('BASE CONSOLIDADA'!$G$5:$G$129,"*Q4*")</f>
        <v>61</v>
      </c>
      <c r="C33" s="37"/>
      <c r="D33" s="37"/>
      <c r="E33" s="37" t="n">
        <f aca="false">SUMPRODUCT(--((ISNUMBER(SEARCH("PE",'BASE CONSOLIDADA'!$G$5:$G$129))+ISNUMBER(SEARCH("PP",'BASE CONSOLIDADA'!$G$5:$G$129)))&gt;0))</f>
        <v>30</v>
      </c>
      <c r="F33" s="37"/>
      <c r="G33" s="37"/>
      <c r="H33" s="37" t="n">
        <f aca="false">COUNTIF('BASE CONSOLIDADA'!$G$5:$G$129,"*AOL*")</f>
        <v>26</v>
      </c>
      <c r="I33" s="37"/>
      <c r="J33" s="37"/>
      <c r="K33" s="37" t="n">
        <f aca="false">COUNTIF('BASE CONSOLIDADA'!$G$5:$G$129,"*COMUM*")</f>
        <v>11</v>
      </c>
      <c r="L33" s="37"/>
      <c r="M33" s="37"/>
      <c r="N33" s="1"/>
      <c r="O33" s="1"/>
    </row>
    <row r="34" customFormat="false" ht="18" hidden="false" customHeight="true" outlineLevel="0" collapsed="false">
      <c r="A34" s="1"/>
      <c r="B34" s="38" t="s">
        <v>40</v>
      </c>
      <c r="C34" s="38"/>
      <c r="D34" s="38"/>
      <c r="E34" s="38" t="s">
        <v>41</v>
      </c>
      <c r="F34" s="38"/>
      <c r="G34" s="38"/>
      <c r="H34" s="38" t="s">
        <v>42</v>
      </c>
      <c r="I34" s="38"/>
      <c r="J34" s="38"/>
      <c r="K34" s="38" t="s">
        <v>43</v>
      </c>
      <c r="L34" s="38"/>
      <c r="M34" s="38"/>
      <c r="N34" s="1"/>
      <c r="O34" s="1"/>
    </row>
    <row r="35" customFormat="false" ht="25.5" hidden="false" customHeight="true" outlineLevel="0" collapsed="false">
      <c r="A35" s="1"/>
      <c r="B35" s="39" t="s">
        <v>44</v>
      </c>
      <c r="C35" s="39"/>
      <c r="D35" s="39"/>
      <c r="E35" s="39" t="s">
        <v>44</v>
      </c>
      <c r="F35" s="39"/>
      <c r="G35" s="39"/>
      <c r="H35" s="39" t="s">
        <v>44</v>
      </c>
      <c r="I35" s="39"/>
      <c r="J35" s="39"/>
      <c r="K35" s="39" t="s">
        <v>44</v>
      </c>
      <c r="L35" s="39"/>
      <c r="M35" s="39"/>
      <c r="N35" s="1"/>
      <c r="O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customFormat="false" ht="25.5" hidden="false" customHeight="true" outlineLevel="0" collapsed="false">
      <c r="A37" s="1"/>
      <c r="B37" s="8" t="s">
        <v>45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"/>
      <c r="O37" s="1"/>
    </row>
    <row r="38" customFormat="false" ht="7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21.75" hidden="false" customHeight="true" outlineLevel="0" collapsed="false">
      <c r="A39" s="1"/>
      <c r="B39" s="40" t="s">
        <v>46</v>
      </c>
      <c r="C39" s="41" t="s">
        <v>47</v>
      </c>
      <c r="D39" s="41"/>
      <c r="E39" s="41"/>
      <c r="F39" s="40" t="s">
        <v>48</v>
      </c>
      <c r="G39" s="41" t="s">
        <v>49</v>
      </c>
      <c r="H39" s="41"/>
      <c r="I39" s="41"/>
      <c r="J39" s="40" t="s">
        <v>50</v>
      </c>
      <c r="K39" s="41" t="s">
        <v>51</v>
      </c>
      <c r="L39" s="41"/>
      <c r="M39" s="41"/>
      <c r="N39" s="1"/>
      <c r="O39" s="1"/>
    </row>
    <row r="40" customFormat="false" ht="19.5" hidden="false" customHeight="true" outlineLevel="0" collapsed="false">
      <c r="A40" s="1"/>
      <c r="B40" s="40"/>
      <c r="C40" s="42" t="s">
        <v>52</v>
      </c>
      <c r="D40" s="42"/>
      <c r="E40" s="42"/>
      <c r="F40" s="40"/>
      <c r="G40" s="42" t="s">
        <v>53</v>
      </c>
      <c r="H40" s="42"/>
      <c r="I40" s="42"/>
      <c r="J40" s="40"/>
      <c r="K40" s="42" t="s">
        <v>54</v>
      </c>
      <c r="L40" s="42"/>
      <c r="M40" s="42"/>
      <c r="N40" s="1"/>
      <c r="O40" s="1"/>
    </row>
    <row r="41" customFormat="false" ht="19.5" hidden="false" customHeight="true" outlineLevel="0" collapsed="false">
      <c r="A41" s="1"/>
      <c r="B41" s="40"/>
      <c r="C41" s="42"/>
      <c r="D41" s="42"/>
      <c r="E41" s="42"/>
      <c r="F41" s="40"/>
      <c r="G41" s="42"/>
      <c r="H41" s="42"/>
      <c r="I41" s="42"/>
      <c r="J41" s="40"/>
      <c r="K41" s="42"/>
      <c r="L41" s="42"/>
      <c r="M41" s="42"/>
      <c r="N41" s="1"/>
      <c r="O41" s="1"/>
    </row>
    <row r="42" customFormat="false" ht="13.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21.75" hidden="false" customHeight="true" outlineLevel="0" collapsed="false">
      <c r="A43" s="1"/>
      <c r="B43" s="43" t="s">
        <v>55</v>
      </c>
      <c r="C43" s="43"/>
      <c r="D43" s="44" t="s">
        <v>56</v>
      </c>
      <c r="E43" s="44"/>
      <c r="F43" s="45" t="s">
        <v>57</v>
      </c>
      <c r="G43" s="45"/>
      <c r="H43" s="46" t="s">
        <v>58</v>
      </c>
      <c r="I43" s="46"/>
      <c r="J43" s="47" t="s">
        <v>59</v>
      </c>
      <c r="K43" s="47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48" t="s">
        <v>60</v>
      </c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85">
    <mergeCell ref="B2:I3"/>
    <mergeCell ref="K2:M3"/>
    <mergeCell ref="B4:I4"/>
    <mergeCell ref="K4:M4"/>
    <mergeCell ref="B5:I5"/>
    <mergeCell ref="B8:M8"/>
    <mergeCell ref="B10:D10"/>
    <mergeCell ref="E10:F10"/>
    <mergeCell ref="G10:I10"/>
    <mergeCell ref="J10:K10"/>
    <mergeCell ref="L10:M10"/>
    <mergeCell ref="B11:D11"/>
    <mergeCell ref="E11:F11"/>
    <mergeCell ref="G11:I11"/>
    <mergeCell ref="J11:K11"/>
    <mergeCell ref="L11:M11"/>
    <mergeCell ref="B12:D12"/>
    <mergeCell ref="E12:F12"/>
    <mergeCell ref="G12:I12"/>
    <mergeCell ref="J12:K12"/>
    <mergeCell ref="L12:M12"/>
    <mergeCell ref="B15:M15"/>
    <mergeCell ref="B17:E17"/>
    <mergeCell ref="F17:I17"/>
    <mergeCell ref="J17:M17"/>
    <mergeCell ref="B18:E18"/>
    <mergeCell ref="F18:I18"/>
    <mergeCell ref="J18:M18"/>
    <mergeCell ref="B19:E19"/>
    <mergeCell ref="F19:I19"/>
    <mergeCell ref="J19:M19"/>
    <mergeCell ref="B20:E20"/>
    <mergeCell ref="F20:I20"/>
    <mergeCell ref="J20:M20"/>
    <mergeCell ref="B21:E21"/>
    <mergeCell ref="F21:I21"/>
    <mergeCell ref="J21:M21"/>
    <mergeCell ref="B23:E23"/>
    <mergeCell ref="F23:I23"/>
    <mergeCell ref="J23:M23"/>
    <mergeCell ref="B24:E24"/>
    <mergeCell ref="F24:I24"/>
    <mergeCell ref="J24:M24"/>
    <mergeCell ref="B25:E25"/>
    <mergeCell ref="F25:I25"/>
    <mergeCell ref="J25:M25"/>
    <mergeCell ref="B26:E26"/>
    <mergeCell ref="F26:I26"/>
    <mergeCell ref="J26:M26"/>
    <mergeCell ref="B27:E27"/>
    <mergeCell ref="F27:I27"/>
    <mergeCell ref="J27:M27"/>
    <mergeCell ref="B30:M30"/>
    <mergeCell ref="B32:D32"/>
    <mergeCell ref="E32:G32"/>
    <mergeCell ref="H32:J32"/>
    <mergeCell ref="K32:M32"/>
    <mergeCell ref="B33:D33"/>
    <mergeCell ref="E33:G33"/>
    <mergeCell ref="H33:J33"/>
    <mergeCell ref="K33:M33"/>
    <mergeCell ref="B34:D34"/>
    <mergeCell ref="E34:G34"/>
    <mergeCell ref="H34:J34"/>
    <mergeCell ref="K34:M34"/>
    <mergeCell ref="B35:D35"/>
    <mergeCell ref="E35:G35"/>
    <mergeCell ref="H35:J35"/>
    <mergeCell ref="K35:M35"/>
    <mergeCell ref="B37:M37"/>
    <mergeCell ref="B39:B41"/>
    <mergeCell ref="C39:E39"/>
    <mergeCell ref="F39:F41"/>
    <mergeCell ref="G39:I39"/>
    <mergeCell ref="J39:J41"/>
    <mergeCell ref="K39:M39"/>
    <mergeCell ref="C40:E41"/>
    <mergeCell ref="G40:I41"/>
    <mergeCell ref="K40:M41"/>
    <mergeCell ref="B43:C43"/>
    <mergeCell ref="D43:E43"/>
    <mergeCell ref="F43:G43"/>
    <mergeCell ref="H43:I43"/>
    <mergeCell ref="J43:K43"/>
    <mergeCell ref="B45:M45"/>
  </mergeCells>
  <conditionalFormatting sqref="G11">
    <cfRule type="cellIs" priority="2" operator="equal" aboveAverage="0" equalAverage="0" bottom="0" percent="0" rank="0" text="" dxfId="0">
      <formula>0</formula>
    </cfRule>
  </conditionalFormatting>
  <hyperlinks>
    <hyperlink ref="B18" location="'DASHBOARD EXECUTIVO'!A1" display="Ver o panorama geral"/>
    <hyperlink ref="F18" location="'DASHBOARD EXECUTIVO'!B14" display="Ver o que precisa de ação"/>
    <hyperlink ref="J18" location="'PESQUISA'!A1" display="Encontrar um documento"/>
    <hyperlink ref="B21" location="'DASHBOARD EXECUTIVO'!A1" display="Abrir Dashboard  ▸"/>
    <hyperlink ref="F21" location="'DASHBOARD EXECUTIVO'!B14" display="Ver ações  ▸"/>
    <hyperlink ref="J21" location="'PESQUISA'!A1" display="Pesquisar  ▸"/>
    <hyperlink ref="B24" location="'BASE CONSOLIDADA'!A1" display="Consultar a base completa"/>
    <hyperlink ref="F24" location="'QUALIDADE BASE'!A1" display="Conferir a qualidade dos dados"/>
    <hyperlink ref="J24" location="'OUTROS CONTROLES'!A1" display="Outros controles documentais"/>
    <hyperlink ref="B27" location="'BASE CONSOLIDADA'!A1" display="Abrir Base  ▸"/>
    <hyperlink ref="F27" location="'QUALIDADE BASE'!A1" display="Abrir Qualidade  ▸"/>
    <hyperlink ref="J27" location="'OUTROS CONTROLES'!A1" display="Abrir Outros  ▸"/>
    <hyperlink ref="B35" location="'NDocs Q4'!A1" display="Abrir aba  ▸"/>
    <hyperlink ref="E35" location="'NDocs PE_PP'!A1" display="Abrir aba  ▸"/>
    <hyperlink ref="H35" location="'NDocs AOL'!A1" display="Abrir aba  ▸"/>
    <hyperlink ref="K35" location="'NDocs COMUNS'!A1" display="Abrir aba  ▸"/>
    <hyperlink ref="B45" location="'NDocs'!A1" display="Histórico (versões anteriores, não usadas nos KPIs): abas NDocs, NDocs (2) e NDocs Salvação 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Z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5" min="2" style="0" width="7.9"/>
    <col collapsed="false" customWidth="true" hidden="false" outlineLevel="0" max="26" min="26" style="0" width="2.5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3.75" hidden="false" customHeight="true" outlineLevel="0" collapsed="false">
      <c r="A2" s="1"/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3"/>
      <c r="P2" s="3"/>
      <c r="Q2" s="3"/>
      <c r="R2" s="50" t="s">
        <v>1</v>
      </c>
      <c r="S2" s="50"/>
      <c r="T2" s="50"/>
      <c r="U2" s="50"/>
      <c r="V2" s="51" t="s">
        <v>61</v>
      </c>
      <c r="W2" s="51"/>
      <c r="X2" s="51"/>
      <c r="Y2" s="51"/>
      <c r="Z2" s="1"/>
    </row>
    <row r="3" customFormat="false" ht="19.5" hidden="false" customHeight="true" outlineLevel="0" collapsed="false">
      <c r="A3" s="1"/>
      <c r="B3" s="52" t="s">
        <v>62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3"/>
      <c r="P3" s="3"/>
      <c r="Q3" s="3"/>
      <c r="R3" s="53" t="n">
        <f aca="false">DataRef</f>
        <v>46301</v>
      </c>
      <c r="S3" s="53"/>
      <c r="T3" s="53"/>
      <c r="U3" s="53"/>
      <c r="V3" s="54" t="s">
        <v>63</v>
      </c>
      <c r="W3" s="54"/>
      <c r="X3" s="54"/>
      <c r="Y3" s="54"/>
      <c r="Z3" s="1"/>
    </row>
    <row r="4" customFormat="false" ht="31.5" hidden="false" customHeight="true" outlineLevel="0" collapsed="false">
      <c r="A4" s="1"/>
      <c r="B4" s="55" t="s">
        <v>64</v>
      </c>
      <c r="C4" s="55"/>
      <c r="D4" s="55"/>
      <c r="E4" s="56" t="s">
        <v>65</v>
      </c>
      <c r="F4" s="56"/>
      <c r="G4" s="56"/>
      <c r="H4" s="55" t="s">
        <v>66</v>
      </c>
      <c r="I4" s="55"/>
      <c r="J4" s="55"/>
      <c r="K4" s="55" t="s">
        <v>67</v>
      </c>
      <c r="L4" s="55"/>
      <c r="M4" s="55"/>
      <c r="N4" s="55" t="s">
        <v>68</v>
      </c>
      <c r="O4" s="55"/>
      <c r="P4" s="55"/>
      <c r="Q4" s="55" t="s">
        <v>69</v>
      </c>
      <c r="R4" s="55"/>
      <c r="S4" s="55"/>
      <c r="T4" s="57" t="s">
        <v>70</v>
      </c>
      <c r="U4" s="57"/>
      <c r="V4" s="57"/>
      <c r="W4" s="57"/>
      <c r="X4" s="57"/>
      <c r="Y4" s="57"/>
      <c r="Z4" s="1"/>
    </row>
    <row r="5" customFormat="false" ht="9.7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true" outlineLevel="0" collapsed="false">
      <c r="A6" s="1"/>
      <c r="B6" s="58" t="s">
        <v>71</v>
      </c>
      <c r="C6" s="58"/>
      <c r="D6" s="58"/>
      <c r="E6" s="58"/>
      <c r="F6" s="58" t="s">
        <v>72</v>
      </c>
      <c r="G6" s="58"/>
      <c r="H6" s="58"/>
      <c r="I6" s="58"/>
      <c r="J6" s="58" t="s">
        <v>73</v>
      </c>
      <c r="K6" s="58"/>
      <c r="L6" s="58"/>
      <c r="M6" s="58"/>
      <c r="N6" s="58" t="s">
        <v>74</v>
      </c>
      <c r="O6" s="58"/>
      <c r="P6" s="58"/>
      <c r="Q6" s="58"/>
      <c r="R6" s="58"/>
      <c r="S6" s="58" t="s">
        <v>75</v>
      </c>
      <c r="T6" s="58"/>
      <c r="U6" s="58"/>
      <c r="V6" s="58"/>
      <c r="W6" s="59" t="s">
        <v>76</v>
      </c>
      <c r="X6" s="59"/>
      <c r="Y6" s="59"/>
      <c r="Z6" s="1"/>
    </row>
    <row r="7" customFormat="false" ht="24" hidden="false" customHeight="true" outlineLevel="0" collapsed="false">
      <c r="A7" s="1"/>
      <c r="B7" s="60" t="s">
        <v>77</v>
      </c>
      <c r="C7" s="60"/>
      <c r="D7" s="60"/>
      <c r="E7" s="60"/>
      <c r="F7" s="60" t="s">
        <v>78</v>
      </c>
      <c r="G7" s="60"/>
      <c r="H7" s="60"/>
      <c r="I7" s="60"/>
      <c r="J7" s="60" t="s">
        <v>77</v>
      </c>
      <c r="K7" s="60"/>
      <c r="L7" s="60"/>
      <c r="M7" s="60"/>
      <c r="N7" s="60" t="s">
        <v>78</v>
      </c>
      <c r="O7" s="60"/>
      <c r="P7" s="60"/>
      <c r="Q7" s="60"/>
      <c r="R7" s="60"/>
      <c r="S7" s="60" t="s">
        <v>78</v>
      </c>
      <c r="T7" s="60"/>
      <c r="U7" s="60"/>
      <c r="V7" s="60"/>
      <c r="W7" s="59"/>
      <c r="X7" s="59"/>
      <c r="Y7" s="59"/>
      <c r="Z7" s="1"/>
    </row>
    <row r="8" customFormat="false" ht="12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9.5" hidden="false" customHeight="true" outlineLevel="0" collapsed="false">
      <c r="A9" s="1"/>
      <c r="B9" s="9" t="s">
        <v>79</v>
      </c>
      <c r="C9" s="9"/>
      <c r="D9" s="9"/>
      <c r="E9" s="9"/>
      <c r="F9" s="10" t="s">
        <v>6</v>
      </c>
      <c r="G9" s="10"/>
      <c r="H9" s="10"/>
      <c r="I9" s="10"/>
      <c r="J9" s="12" t="s">
        <v>80</v>
      </c>
      <c r="K9" s="12"/>
      <c r="L9" s="12"/>
      <c r="M9" s="12"/>
      <c r="N9" s="11" t="s">
        <v>7</v>
      </c>
      <c r="O9" s="11"/>
      <c r="P9" s="11"/>
      <c r="Q9" s="11"/>
      <c r="R9" s="13" t="s">
        <v>8</v>
      </c>
      <c r="S9" s="13"/>
      <c r="T9" s="13"/>
      <c r="U9" s="13"/>
      <c r="V9" s="9" t="s">
        <v>9</v>
      </c>
      <c r="W9" s="9"/>
      <c r="X9" s="9"/>
      <c r="Y9" s="9"/>
      <c r="Z9" s="1"/>
    </row>
    <row r="10" customFormat="false" ht="39.75" hidden="false" customHeight="true" outlineLevel="0" collapsed="false">
      <c r="A10" s="1"/>
      <c r="B10" s="61" t="n">
        <f aca="false">SUM('BASE CONSOLIDADA'!$W$5:$W$129)</f>
        <v>125</v>
      </c>
      <c r="C10" s="61"/>
      <c r="D10" s="61"/>
      <c r="E10" s="61"/>
      <c r="F10" s="62" t="n">
        <f aca="false">COUNTIFS('BASE CONSOLIDADA'!$W$5:$W$129,1,'BASE CONSOLIDADA'!$N$5:$N$129,"Aprovado")</f>
        <v>117</v>
      </c>
      <c r="G10" s="62"/>
      <c r="H10" s="62"/>
      <c r="I10" s="62"/>
      <c r="J10" s="63" t="n">
        <f aca="false">COUNTIFS('BASE CONSOLIDADA'!$W$5:$W$129,1,'BASE CONSOLIDADA'!$R$5:$R$129,"Em tratamento")</f>
        <v>3</v>
      </c>
      <c r="K10" s="63"/>
      <c r="L10" s="63"/>
      <c r="M10" s="63"/>
      <c r="N10" s="64" t="n">
        <f aca="false">COUNTIFS('BASE CONSOLIDADA'!$W$5:$W$129,1,'BASE CONSOLIDADA'!$R$5:$R$129,"Ação imediata")</f>
        <v>1</v>
      </c>
      <c r="O10" s="64"/>
      <c r="P10" s="64"/>
      <c r="Q10" s="64"/>
      <c r="R10" s="61" t="n">
        <f aca="false">COUNTIFS('BASE CONSOLIDADA'!$W$5:$W$129,1,'BASE CONSOLIDADA'!$N$5:$N$129,"Aprovado",'BASE CONSOLIDADA'!$O$5:$O$129,"&gt;="&amp;DataRef,'BASE CONSOLIDADA'!$O$5:$O$129,"&lt;="&amp;EDATE(DataRef,12))</f>
        <v>12</v>
      </c>
      <c r="S10" s="61"/>
      <c r="T10" s="61"/>
      <c r="U10" s="61"/>
      <c r="V10" s="65" t="n">
        <f aca="false">IFERROR((COUNTIFS('BASE CONSOLIDADA'!$W$5:$W$129,1,'BASE CONSOLIDADA'!$R$5:$R$129,"Regular")+COUNTIFS('BASE CONSOLIDADA'!$W$5:$W$129,1,'BASE CONSOLIDADA'!$R$5:$R$129,"Planejar revisão"))/COUNTIFS('BASE CONSOLIDADA'!$W$5:$W$129,1,'BASE CONSOLIDADA'!$R$5:$R$129,"&lt;&gt;Inativo"),"–")</f>
        <v>0.950819672131148</v>
      </c>
      <c r="W10" s="65"/>
      <c r="X10" s="65"/>
      <c r="Y10" s="65"/>
      <c r="Z10" s="1"/>
    </row>
    <row r="11" customFormat="false" ht="18" hidden="false" customHeight="true" outlineLevel="0" collapsed="false">
      <c r="A11" s="1"/>
      <c r="B11" s="66" t="str">
        <f aca="false">COUNTIFS('BASE CONSOLIDADA'!$W$5:$W$129,1,'BASE CONSOLIDADA'!$R$5:$R$129,"&lt;&gt;Inativo")&amp;" ativas · "&amp;COUNTIFS('BASE CONSOLIDADA'!$W$5:$W$129,1,'BASE CONSOLIDADA'!$R$5:$R$129,"Inativo")&amp;" inativas"</f>
        <v>122 ativas · 3 inativas</v>
      </c>
      <c r="C11" s="66"/>
      <c r="D11" s="66"/>
      <c r="E11" s="66"/>
      <c r="F11" s="66" t="str">
        <f aca="false">IFERROR(TEXT(COUNTIFS('BASE CONSOLIDADA'!$W$5:$W$129,1,'BASE CONSOLIDADA'!$N$5:$N$129,"Aprovado")/COUNTIFS('BASE CONSOLIDADA'!$W$5:$W$129,1,'BASE CONSOLIDADA'!$R$5:$R$129,"&lt;&gt;Inativo"),"0%"),"–")&amp;" das instruções ativas"</f>
        <v>96% das instruções ativas</v>
      </c>
      <c r="G11" s="66"/>
      <c r="H11" s="66"/>
      <c r="I11" s="66"/>
      <c r="J11" s="66" t="str">
        <f aca="false">"Revisão "&amp;COUNTIFS('BASE CONSOLIDADA'!$W$5:$W$129,1,'BASE CONSOLIDADA'!$N$5:$N$129,"Revisão")&amp;" · Elaboração "&amp;COUNTIFS('BASE CONSOLIDADA'!$W$5:$W$129,1,'BASE CONSOLIDADA'!$N$5:$N$129,"Em Elaboração")</f>
        <v>Revisão 2 · Elaboração 1</v>
      </c>
      <c r="K11" s="66"/>
      <c r="L11" s="66"/>
      <c r="M11" s="66"/>
      <c r="N11" s="66" t="str">
        <f aca="false">"vencida(s) e ativa(s) · +"&amp;COUNTIFS('BASE CONSOLIDADA'!$W$5:$W$129,1,'BASE CONSOLIDADA'!$R$5:$R$129,"Validar cadastro")&amp;" a validar"</f>
        <v>vencida(s) e ativa(s) · +2 a validar</v>
      </c>
      <c r="O11" s="66"/>
      <c r="P11" s="66"/>
      <c r="Q11" s="66"/>
      <c r="R11" s="66" t="str">
        <f aca="false">"até 90 dias: "&amp;COUNTIFS('BASE CONSOLIDADA'!$W$5:$W$129,1,'BASE CONSOLIDADA'!$N$5:$N$129,"Aprovado",'BASE CONSOLIDADA'!$S$5:$S$129,"Até 90 dias")</f>
        <v>até 90 dias: 0</v>
      </c>
      <c r="S11" s="66"/>
      <c r="T11" s="66"/>
      <c r="U11" s="66"/>
      <c r="V11" s="66" t="str">
        <f aca="false">"aprovadas e válidas ÷ ativas"</f>
        <v>aprovadas e válidas ÷ ativas</v>
      </c>
      <c r="W11" s="66"/>
      <c r="X11" s="66"/>
      <c r="Y11" s="66"/>
      <c r="Z11" s="1"/>
    </row>
    <row r="12" customFormat="false" ht="7.5" hidden="false" customHeight="true" outlineLevel="0" collapsed="false">
      <c r="A12" s="1"/>
      <c r="B12" s="20"/>
      <c r="C12" s="21"/>
      <c r="D12" s="21"/>
      <c r="E12" s="22"/>
      <c r="F12" s="20"/>
      <c r="G12" s="21"/>
      <c r="H12" s="21"/>
      <c r="I12" s="22"/>
      <c r="J12" s="20"/>
      <c r="K12" s="21"/>
      <c r="L12" s="21"/>
      <c r="M12" s="22"/>
      <c r="N12" s="20"/>
      <c r="O12" s="21"/>
      <c r="P12" s="21"/>
      <c r="Q12" s="22"/>
      <c r="R12" s="20"/>
      <c r="S12" s="21"/>
      <c r="T12" s="21"/>
      <c r="U12" s="22"/>
      <c r="V12" s="20"/>
      <c r="W12" s="21"/>
      <c r="X12" s="21"/>
      <c r="Y12" s="22"/>
      <c r="Z12" s="1"/>
    </row>
    <row r="13" customFormat="false" ht="15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1.75" hidden="false" customHeight="true" outlineLevel="0" collapsed="false">
      <c r="A14" s="1"/>
      <c r="B14" s="67" t="s">
        <v>81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1"/>
      <c r="R14" s="67" t="s">
        <v>82</v>
      </c>
      <c r="S14" s="67"/>
      <c r="T14" s="67"/>
      <c r="U14" s="67"/>
      <c r="V14" s="67"/>
      <c r="W14" s="67"/>
      <c r="X14" s="67"/>
      <c r="Y14" s="67"/>
      <c r="Z14" s="1"/>
    </row>
    <row r="15" customFormat="false" ht="15.75" hidden="false" customHeight="true" outlineLevel="0" collapsed="false">
      <c r="A15" s="1"/>
      <c r="B15" s="68" t="s">
        <v>83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1"/>
      <c r="R15" s="68" t="s">
        <v>84</v>
      </c>
      <c r="S15" s="68"/>
      <c r="T15" s="68"/>
      <c r="U15" s="68"/>
      <c r="V15" s="68"/>
      <c r="W15" s="68"/>
      <c r="X15" s="68"/>
      <c r="Y15" s="68"/>
      <c r="Z15" s="1"/>
    </row>
    <row r="16" customFormat="false" ht="21.75" hidden="false" customHeight="true" outlineLevel="0" collapsed="false">
      <c r="A16" s="1"/>
      <c r="B16" s="69" t="s">
        <v>85</v>
      </c>
      <c r="C16" s="70" t="s">
        <v>86</v>
      </c>
      <c r="D16" s="70"/>
      <c r="E16" s="70"/>
      <c r="F16" s="70" t="s">
        <v>87</v>
      </c>
      <c r="G16" s="70"/>
      <c r="H16" s="70"/>
      <c r="I16" s="70"/>
      <c r="J16" s="69" t="s">
        <v>88</v>
      </c>
      <c r="K16" s="70" t="s">
        <v>89</v>
      </c>
      <c r="L16" s="70"/>
      <c r="M16" s="70" t="s">
        <v>90</v>
      </c>
      <c r="N16" s="70"/>
      <c r="O16" s="70" t="s">
        <v>91</v>
      </c>
      <c r="P16" s="70"/>
      <c r="Q16" s="1"/>
      <c r="R16" s="71"/>
      <c r="S16" s="71"/>
      <c r="T16" s="71"/>
      <c r="U16" s="71"/>
      <c r="V16" s="71"/>
      <c r="W16" s="71"/>
      <c r="X16" s="71"/>
      <c r="Y16" s="71"/>
      <c r="Z16" s="1"/>
    </row>
    <row r="17" customFormat="false" ht="30" hidden="false" customHeight="true" outlineLevel="0" collapsed="false">
      <c r="A17" s="1"/>
      <c r="B17" s="72" t="n">
        <f aca="false">IF('_AUX DASH'!$C$75="","",INDEX('BASE CONSOLIDADA'!$U$5:$U$129,'_AUX DASH'!$C$75))</f>
        <v>1</v>
      </c>
      <c r="C17" s="73" t="str">
        <f aca="false">IF('_AUX DASH'!$C$75="","✓ Nenhum item exige ação com os filtros atuais",INDEX('BASE CONSOLIDADA'!$A$5:$A$129,'_AUX DASH'!$C$75))</f>
        <v>BRK-INS-01-010133-PT</v>
      </c>
      <c r="D17" s="73"/>
      <c r="E17" s="73"/>
      <c r="F17" s="74" t="str">
        <f aca="false">IF('_AUX DASH'!$C$75="","",INDEX('BASE CONSOLIDADA'!$D$5:$D$129,'_AUX DASH'!$C$75))</f>
        <v>MANUAL DE SEGURANÇA DO LABORATÓRIO</v>
      </c>
      <c r="G17" s="74"/>
      <c r="H17" s="74"/>
      <c r="I17" s="74"/>
      <c r="J17" s="75" t="str">
        <f aca="false">IF('_AUX DASH'!$C$75="","",INDEX('BASE CONSOLIDADA'!$G$5:$G$129,'_AUX DASH'!$C$75))</f>
        <v>COMUM</v>
      </c>
      <c r="K17" s="76" t="str">
        <f aca="false">IF('_AUX DASH'!$C$75="","",INDEX('BASE CONSOLIDADA'!$R$5:$R$129,'_AUX DASH'!$C$75))</f>
        <v>Ação imediata</v>
      </c>
      <c r="L17" s="76"/>
      <c r="M17" s="77" t="str">
        <f aca="false">IF('_AUX DASH'!$C$75="","",INDEX('BASE CONSOLIDADA'!$P$5:$P$129,'_AUX DASH'!$C$75))</f>
        <v>Ana Carla Da Cruz Araujo</v>
      </c>
      <c r="N17" s="77"/>
      <c r="O17" s="77" t="str">
        <f aca="false">IF('_AUX DASH'!$C$75="","",INDEX('BASE CONSOLIDADA'!$V$5:$V$129,'_AUX DASH'!$C$75))</f>
        <v>Revisar ou prorrogar validade</v>
      </c>
      <c r="P17" s="77"/>
      <c r="Q17" s="1"/>
      <c r="R17" s="71"/>
      <c r="S17" s="71"/>
      <c r="T17" s="71"/>
      <c r="U17" s="71"/>
      <c r="V17" s="71"/>
      <c r="W17" s="71"/>
      <c r="X17" s="71"/>
      <c r="Y17" s="71"/>
      <c r="Z17" s="1"/>
    </row>
    <row r="18" customFormat="false" ht="30" hidden="false" customHeight="true" outlineLevel="0" collapsed="false">
      <c r="A18" s="1"/>
      <c r="B18" s="72" t="n">
        <f aca="false">IF('_AUX DASH'!$C$76="","",INDEX('BASE CONSOLIDADA'!$U$5:$U$129,'_AUX DASH'!$C$76))</f>
        <v>2</v>
      </c>
      <c r="C18" s="73" t="str">
        <f aca="false">IF('_AUX DASH'!$C$76="","",INDEX('BASE CONSOLIDADA'!$A$5:$A$129,'_AUX DASH'!$C$76))</f>
        <v>BRK-INS-01-016228-PT</v>
      </c>
      <c r="D18" s="73"/>
      <c r="E18" s="73"/>
      <c r="F18" s="74" t="str">
        <f aca="false">IF('_AUX DASH'!$C$76="","",INDEX('BASE CONSOLIDADA'!$D$5:$D$129,'_AUX DASH'!$C$76))</f>
        <v>DETERMINAÇÃO DE CARBONO ORGÂNICO TOTAL (TOC)</v>
      </c>
      <c r="G18" s="74"/>
      <c r="H18" s="74"/>
      <c r="I18" s="74"/>
      <c r="J18" s="75" t="str">
        <f aca="false">IF('_AUX DASH'!$C$76="","",INDEX('BASE CONSOLIDADA'!$G$5:$G$129,'_AUX DASH'!$C$76))</f>
        <v>Q4</v>
      </c>
      <c r="K18" s="76" t="str">
        <f aca="false">IF('_AUX DASH'!$C$76="","",INDEX('BASE CONSOLIDADA'!$R$5:$R$129,'_AUX DASH'!$C$76))</f>
        <v>Validar cadastro</v>
      </c>
      <c r="L18" s="76"/>
      <c r="M18" s="77" t="str">
        <f aca="false">IF('_AUX DASH'!$C$76="","",INDEX('BASE CONSOLIDADA'!$P$5:$P$129,'_AUX DASH'!$C$76))</f>
        <v>Ana Carla Da Cruz Araujo</v>
      </c>
      <c r="N18" s="77"/>
      <c r="O18" s="77" t="str">
        <f aca="false">IF('_AUX DASH'!$C$76="","",INDEX('BASE CONSOLIDADA'!$V$5:$V$129,'_AUX DASH'!$C$76))</f>
        <v>Confirmar status no NDocs</v>
      </c>
      <c r="P18" s="77"/>
      <c r="Q18" s="1"/>
      <c r="R18" s="71"/>
      <c r="S18" s="71"/>
      <c r="T18" s="71"/>
      <c r="U18" s="71"/>
      <c r="V18" s="71"/>
      <c r="W18" s="71"/>
      <c r="X18" s="71"/>
      <c r="Y18" s="71"/>
      <c r="Z18" s="1"/>
    </row>
    <row r="19" customFormat="false" ht="30" hidden="false" customHeight="true" outlineLevel="0" collapsed="false">
      <c r="A19" s="1"/>
      <c r="B19" s="72" t="n">
        <f aca="false">IF('_AUX DASH'!$C$77="","",INDEX('BASE CONSOLIDADA'!$U$5:$U$129,'_AUX DASH'!$C$77))</f>
        <v>3</v>
      </c>
      <c r="C19" s="73" t="str">
        <f aca="false">IF('_AUX DASH'!$C$77="","",INDEX('BASE CONSOLIDADA'!$A$5:$A$129,'_AUX DASH'!$C$77))</f>
        <v>BRK-INS-01-018898-PT</v>
      </c>
      <c r="D19" s="73"/>
      <c r="E19" s="73"/>
      <c r="F19" s="74" t="str">
        <f aca="false">IF('_AUX DASH'!$C$77="","",INDEX('BASE CONSOLIDADA'!$D$5:$D$129,'_AUX DASH'!$C$77))</f>
        <v>DETERMINAÇÃO DE ÓLEOS E GRAXAS</v>
      </c>
      <c r="G19" s="74"/>
      <c r="H19" s="74"/>
      <c r="I19" s="74"/>
      <c r="J19" s="75" t="str">
        <f aca="false">IF('_AUX DASH'!$C$77="","",INDEX('BASE CONSOLIDADA'!$G$5:$G$129,'_AUX DASH'!$C$77))</f>
        <v>Q4</v>
      </c>
      <c r="K19" s="76" t="str">
        <f aca="false">IF('_AUX DASH'!$C$77="","",INDEX('BASE CONSOLIDADA'!$R$5:$R$129,'_AUX DASH'!$C$77))</f>
        <v>Em tratamento</v>
      </c>
      <c r="L19" s="76"/>
      <c r="M19" s="77" t="str">
        <f aca="false">IF('_AUX DASH'!$C$77="","",INDEX('BASE CONSOLIDADA'!$P$5:$P$129,'_AUX DASH'!$C$77))</f>
        <v>Ana Carla Da Cruz Araujo</v>
      </c>
      <c r="N19" s="77"/>
      <c r="O19" s="77" t="str">
        <f aca="false">IF('_AUX DASH'!$C$77="","",INDEX('BASE CONSOLIDADA'!$V$5:$V$129,'_AUX DASH'!$C$77))</f>
        <v>Acompanhar revisão</v>
      </c>
      <c r="P19" s="77"/>
      <c r="Q19" s="1"/>
      <c r="R19" s="71"/>
      <c r="S19" s="71"/>
      <c r="T19" s="71"/>
      <c r="U19" s="71"/>
      <c r="V19" s="71"/>
      <c r="W19" s="71"/>
      <c r="X19" s="71"/>
      <c r="Y19" s="71"/>
      <c r="Z19" s="1"/>
    </row>
    <row r="20" customFormat="false" ht="30" hidden="false" customHeight="true" outlineLevel="0" collapsed="false">
      <c r="A20" s="1"/>
      <c r="B20" s="72" t="n">
        <f aca="false">IF('_AUX DASH'!$C$78="","",INDEX('BASE CONSOLIDADA'!$U$5:$U$129,'_AUX DASH'!$C$78))</f>
        <v>3</v>
      </c>
      <c r="C20" s="73" t="str">
        <f aca="false">IF('_AUX DASH'!$C$78="","",INDEX('BASE CONSOLIDADA'!$A$5:$A$129,'_AUX DASH'!$C$78))</f>
        <v>BRK-INS-01-013358-PT</v>
      </c>
      <c r="D20" s="73"/>
      <c r="E20" s="73"/>
      <c r="F20" s="74" t="str">
        <f aca="false">IF('_AUX DASH'!$C$78="","",INDEX('BASE CONSOLIDADA'!$D$5:$D$129,'_AUX DASH'!$C$78))</f>
        <v>DETERMINAÇÃO DO TEOR DE SOLÚVEIS EM XILENO TOTAL, AMORFO E OLIGÔMEROS</v>
      </c>
      <c r="G20" s="74"/>
      <c r="H20" s="74"/>
      <c r="I20" s="74"/>
      <c r="J20" s="75" t="str">
        <f aca="false">IF('_AUX DASH'!$C$78="","",INDEX('BASE CONSOLIDADA'!$G$5:$G$129,'_AUX DASH'!$C$78))</f>
        <v>PP</v>
      </c>
      <c r="K20" s="76" t="str">
        <f aca="false">IF('_AUX DASH'!$C$78="","",INDEX('BASE CONSOLIDADA'!$R$5:$R$129,'_AUX DASH'!$C$78))</f>
        <v>Em tratamento</v>
      </c>
      <c r="L20" s="76"/>
      <c r="M20" s="77" t="str">
        <f aca="false">IF('_AUX DASH'!$C$78="","",INDEX('BASE CONSOLIDADA'!$P$5:$P$129,'_AUX DASH'!$C$78))</f>
        <v>Bruna Luisa Goldschmidt</v>
      </c>
      <c r="N20" s="77"/>
      <c r="O20" s="77" t="str">
        <f aca="false">IF('_AUX DASH'!$C$78="","",INDEX('BASE CONSOLIDADA'!$V$5:$V$129,'_AUX DASH'!$C$78))</f>
        <v>Acompanhar revisão</v>
      </c>
      <c r="P20" s="77"/>
      <c r="Q20" s="1"/>
      <c r="R20" s="71"/>
      <c r="S20" s="71"/>
      <c r="T20" s="71"/>
      <c r="U20" s="71"/>
      <c r="V20" s="71"/>
      <c r="W20" s="71"/>
      <c r="X20" s="71"/>
      <c r="Y20" s="71"/>
      <c r="Z20" s="1"/>
    </row>
    <row r="21" customFormat="false" ht="30" hidden="false" customHeight="true" outlineLevel="0" collapsed="false">
      <c r="A21" s="1"/>
      <c r="B21" s="72" t="n">
        <f aca="false">IF('_AUX DASH'!$C$79="","",INDEX('BASE CONSOLIDADA'!$U$5:$U$129,'_AUX DASH'!$C$79))</f>
        <v>4</v>
      </c>
      <c r="C21" s="73" t="str">
        <f aca="false">IF('_AUX DASH'!$C$79="","",INDEX('BASE CONSOLIDADA'!$A$5:$A$129,'_AUX DASH'!$C$79))</f>
        <v>BRK-INS-01-015837-PT</v>
      </c>
      <c r="D21" s="73"/>
      <c r="E21" s="73"/>
      <c r="F21" s="74" t="str">
        <f aca="false">IF('_AUX DASH'!$C$79="","",INDEX('BASE CONSOLIDADA'!$D$5:$D$129,'_AUX DASH'!$C$79))</f>
        <v>DETERMINAÇÃO DE INORGÂNICOS POR CROMATOGRAFIA GASOSA</v>
      </c>
      <c r="G21" s="74"/>
      <c r="H21" s="74"/>
      <c r="I21" s="74"/>
      <c r="J21" s="75" t="str">
        <f aca="false">IF('_AUX DASH'!$C$79="","",INDEX('BASE CONSOLIDADA'!$G$5:$G$129,'_AUX DASH'!$C$79))</f>
        <v>Q4</v>
      </c>
      <c r="K21" s="76" t="str">
        <f aca="false">IF('_AUX DASH'!$C$79="","",INDEX('BASE CONSOLIDADA'!$R$5:$R$129,'_AUX DASH'!$C$79))</f>
        <v>Em tratamento</v>
      </c>
      <c r="L21" s="76"/>
      <c r="M21" s="77" t="str">
        <f aca="false">IF('_AUX DASH'!$C$79="","",INDEX('BASE CONSOLIDADA'!$P$5:$P$129,'_AUX DASH'!$C$79))</f>
        <v>Isabel Teixeira Malvar Pinto</v>
      </c>
      <c r="N21" s="77"/>
      <c r="O21" s="77" t="str">
        <f aca="false">IF('_AUX DASH'!$C$79="","",INDEX('BASE CONSOLIDADA'!$V$5:$V$129,'_AUX DASH'!$C$79))</f>
        <v>Concluir elaboração</v>
      </c>
      <c r="P21" s="77"/>
      <c r="Q21" s="1"/>
      <c r="R21" s="71"/>
      <c r="S21" s="71"/>
      <c r="T21" s="71"/>
      <c r="U21" s="71"/>
      <c r="V21" s="71"/>
      <c r="W21" s="71"/>
      <c r="X21" s="71"/>
      <c r="Y21" s="71"/>
      <c r="Z21" s="1"/>
    </row>
    <row r="22" customFormat="false" ht="30" hidden="false" customHeight="true" outlineLevel="0" collapsed="false">
      <c r="A22" s="1"/>
      <c r="B22" s="72" t="n">
        <f aca="false">IF('_AUX DASH'!$C$80="","",INDEX('BASE CONSOLIDADA'!$U$5:$U$129,'_AUX DASH'!$C$80))</f>
        <v>6</v>
      </c>
      <c r="C22" s="73" t="str">
        <f aca="false">IF('_AUX DASH'!$C$80="","",INDEX('BASE CONSOLIDADA'!$A$5:$A$129,'_AUX DASH'!$C$80))</f>
        <v>BRK-INS-01-012704-PT</v>
      </c>
      <c r="D22" s="73"/>
      <c r="E22" s="73"/>
      <c r="F22" s="74" t="str">
        <f aca="false">IF('_AUX DASH'!$C$80="","",INDEX('BASE CONSOLIDADA'!$D$5:$D$129,'_AUX DASH'!$C$80))</f>
        <v>ONTROLE DE QUALIDADE DE RESINAS DE PE, PP E EVA - REGIONAL RS</v>
      </c>
      <c r="G22" s="74"/>
      <c r="H22" s="74"/>
      <c r="I22" s="74"/>
      <c r="J22" s="75" t="str">
        <f aca="false">IF('_AUX DASH'!$C$80="","",INDEX('BASE CONSOLIDADA'!$G$5:$G$129,'_AUX DASH'!$C$80))</f>
        <v>PE/PP</v>
      </c>
      <c r="K22" s="76" t="str">
        <f aca="false">IF('_AUX DASH'!$C$80="","",INDEX('BASE CONSOLIDADA'!$R$5:$R$129,'_AUX DASH'!$C$80))</f>
        <v>Validar cadastro</v>
      </c>
      <c r="L22" s="76"/>
      <c r="M22" s="77" t="str">
        <f aca="false">IF('_AUX DASH'!$C$80="","",INDEX('BASE CONSOLIDADA'!$P$5:$P$129,'_AUX DASH'!$C$80))</f>
        <v>Cleiton Leandro Zimmermann Pereira</v>
      </c>
      <c r="N22" s="77"/>
      <c r="O22" s="77" t="str">
        <f aca="false">IF('_AUX DASH'!$C$80="","",INDEX('BASE CONSOLIDADA'!$V$5:$V$129,'_AUX DASH'!$C$80))</f>
        <v>Validar aplicabilidade</v>
      </c>
      <c r="P22" s="77"/>
      <c r="Q22" s="1"/>
      <c r="R22" s="71"/>
      <c r="S22" s="71"/>
      <c r="T22" s="71"/>
      <c r="U22" s="71"/>
      <c r="V22" s="71"/>
      <c r="W22" s="71"/>
      <c r="X22" s="71"/>
      <c r="Y22" s="71"/>
      <c r="Z22" s="1"/>
    </row>
    <row r="23" customFormat="false" ht="30" hidden="false" customHeight="true" outlineLevel="0" collapsed="false">
      <c r="A23" s="1"/>
      <c r="B23" s="78" t="str">
        <f aca="false">IF('_AUX DASH'!$C$81="","",INDEX('BASE CONSOLIDADA'!$U$5:$U$129,'_AUX DASH'!$C$81))</f>
        <v/>
      </c>
      <c r="C23" s="73" t="str">
        <f aca="false">IF('_AUX DASH'!$C$81="","",INDEX('BASE CONSOLIDADA'!$A$5:$A$129,'_AUX DASH'!$C$81))</f>
        <v/>
      </c>
      <c r="D23" s="73"/>
      <c r="E23" s="73"/>
      <c r="F23" s="74" t="str">
        <f aca="false">IF('_AUX DASH'!$C$81="","",INDEX('BASE CONSOLIDADA'!$D$5:$D$129,'_AUX DASH'!$C$81))</f>
        <v/>
      </c>
      <c r="G23" s="74"/>
      <c r="H23" s="74"/>
      <c r="I23" s="74"/>
      <c r="J23" s="75" t="str">
        <f aca="false">IF('_AUX DASH'!$C$81="","",INDEX('BASE CONSOLIDADA'!$G$5:$G$129,'_AUX DASH'!$C$81))</f>
        <v/>
      </c>
      <c r="K23" s="76" t="str">
        <f aca="false">IF('_AUX DASH'!$C$81="","",INDEX('BASE CONSOLIDADA'!$R$5:$R$129,'_AUX DASH'!$C$81))</f>
        <v/>
      </c>
      <c r="L23" s="76"/>
      <c r="M23" s="77" t="str">
        <f aca="false">IF('_AUX DASH'!$C$81="","",INDEX('BASE CONSOLIDADA'!$P$5:$P$129,'_AUX DASH'!$C$81))</f>
        <v/>
      </c>
      <c r="N23" s="77"/>
      <c r="O23" s="77" t="str">
        <f aca="false">IF('_AUX DASH'!$C$81="","",INDEX('BASE CONSOLIDADA'!$V$5:$V$129,'_AUX DASH'!$C$81))</f>
        <v/>
      </c>
      <c r="P23" s="77"/>
      <c r="Q23" s="1"/>
      <c r="R23" s="71"/>
      <c r="S23" s="71"/>
      <c r="T23" s="71"/>
      <c r="U23" s="71"/>
      <c r="V23" s="71"/>
      <c r="W23" s="71"/>
      <c r="X23" s="71"/>
      <c r="Y23" s="71"/>
      <c r="Z23" s="1"/>
    </row>
    <row r="24" customFormat="false" ht="30" hidden="false" customHeight="true" outlineLevel="0" collapsed="false">
      <c r="A24" s="1"/>
      <c r="B24" s="78" t="str">
        <f aca="false">IF('_AUX DASH'!$C$82="","",INDEX('BASE CONSOLIDADA'!$U$5:$U$129,'_AUX DASH'!$C$82))</f>
        <v/>
      </c>
      <c r="C24" s="73" t="str">
        <f aca="false">IF('_AUX DASH'!$C$82="","",INDEX('BASE CONSOLIDADA'!$A$5:$A$129,'_AUX DASH'!$C$82))</f>
        <v/>
      </c>
      <c r="D24" s="73"/>
      <c r="E24" s="73"/>
      <c r="F24" s="74" t="str">
        <f aca="false">IF('_AUX DASH'!$C$82="","",INDEX('BASE CONSOLIDADA'!$D$5:$D$129,'_AUX DASH'!$C$82))</f>
        <v/>
      </c>
      <c r="G24" s="74"/>
      <c r="H24" s="74"/>
      <c r="I24" s="74"/>
      <c r="J24" s="75" t="str">
        <f aca="false">IF('_AUX DASH'!$C$82="","",INDEX('BASE CONSOLIDADA'!$G$5:$G$129,'_AUX DASH'!$C$82))</f>
        <v/>
      </c>
      <c r="K24" s="76" t="str">
        <f aca="false">IF('_AUX DASH'!$C$82="","",INDEX('BASE CONSOLIDADA'!$R$5:$R$129,'_AUX DASH'!$C$82))</f>
        <v/>
      </c>
      <c r="L24" s="76"/>
      <c r="M24" s="77" t="str">
        <f aca="false">IF('_AUX DASH'!$C$82="","",INDEX('BASE CONSOLIDADA'!$P$5:$P$129,'_AUX DASH'!$C$82))</f>
        <v/>
      </c>
      <c r="N24" s="77"/>
      <c r="O24" s="77" t="str">
        <f aca="false">IF('_AUX DASH'!$C$82="","",INDEX('BASE CONSOLIDADA'!$V$5:$V$129,'_AUX DASH'!$C$82))</f>
        <v/>
      </c>
      <c r="P24" s="77"/>
      <c r="Q24" s="1"/>
      <c r="R24" s="71"/>
      <c r="S24" s="71"/>
      <c r="T24" s="71"/>
      <c r="U24" s="71"/>
      <c r="V24" s="71"/>
      <c r="W24" s="71"/>
      <c r="X24" s="71"/>
      <c r="Y24" s="71"/>
      <c r="Z24" s="1"/>
    </row>
    <row r="25" customFormat="false" ht="15.75" hidden="false" customHeight="true" outlineLevel="0" collapsed="false">
      <c r="A25" s="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1"/>
      <c r="R25" s="71"/>
      <c r="S25" s="71"/>
      <c r="T25" s="71"/>
      <c r="U25" s="71"/>
      <c r="V25" s="71"/>
      <c r="W25" s="71"/>
      <c r="X25" s="71"/>
      <c r="Y25" s="71"/>
      <c r="Z25" s="1"/>
    </row>
    <row r="26" customFormat="false" ht="13.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21.75" hidden="false" customHeight="true" outlineLevel="0" collapsed="false">
      <c r="A27" s="1"/>
      <c r="B27" s="67" t="s">
        <v>92</v>
      </c>
      <c r="C27" s="67"/>
      <c r="D27" s="67"/>
      <c r="E27" s="67"/>
      <c r="F27" s="67"/>
      <c r="G27" s="67"/>
      <c r="H27" s="67"/>
      <c r="I27" s="1"/>
      <c r="J27" s="67" t="s">
        <v>93</v>
      </c>
      <c r="K27" s="67"/>
      <c r="L27" s="67"/>
      <c r="M27" s="67"/>
      <c r="N27" s="67"/>
      <c r="O27" s="67"/>
      <c r="P27" s="67"/>
      <c r="Q27" s="67"/>
      <c r="R27" s="1"/>
      <c r="S27" s="67" t="s">
        <v>94</v>
      </c>
      <c r="T27" s="67"/>
      <c r="U27" s="67"/>
      <c r="V27" s="67"/>
      <c r="W27" s="67"/>
      <c r="X27" s="67"/>
      <c r="Y27" s="67"/>
      <c r="Z27" s="1"/>
    </row>
    <row r="28" customFormat="false" ht="15.75" hidden="false" customHeight="true" outlineLevel="0" collapsed="false">
      <c r="A28" s="1"/>
      <c r="B28" s="68" t="s">
        <v>95</v>
      </c>
      <c r="C28" s="68"/>
      <c r="D28" s="68"/>
      <c r="E28" s="68"/>
      <c r="F28" s="68"/>
      <c r="G28" s="68"/>
      <c r="H28" s="68"/>
      <c r="I28" s="1"/>
      <c r="J28" s="68" t="s">
        <v>96</v>
      </c>
      <c r="K28" s="68"/>
      <c r="L28" s="68"/>
      <c r="M28" s="68"/>
      <c r="N28" s="68"/>
      <c r="O28" s="68"/>
      <c r="P28" s="68"/>
      <c r="Q28" s="68"/>
      <c r="R28" s="1"/>
      <c r="S28" s="68" t="s">
        <v>97</v>
      </c>
      <c r="T28" s="68"/>
      <c r="U28" s="68"/>
      <c r="V28" s="68"/>
      <c r="W28" s="68"/>
      <c r="X28" s="68"/>
      <c r="Y28" s="68"/>
      <c r="Z28" s="1"/>
    </row>
    <row r="29" customFormat="false" ht="19.5" hidden="false" customHeight="true" outlineLevel="0" collapsed="false">
      <c r="A29" s="1"/>
      <c r="B29" s="71"/>
      <c r="C29" s="71"/>
      <c r="D29" s="71"/>
      <c r="E29" s="71"/>
      <c r="F29" s="71"/>
      <c r="G29" s="71"/>
      <c r="H29" s="71"/>
      <c r="I29" s="1"/>
      <c r="J29" s="70" t="s">
        <v>88</v>
      </c>
      <c r="K29" s="70"/>
      <c r="L29" s="79" t="s">
        <v>98</v>
      </c>
      <c r="M29" s="79" t="s">
        <v>99</v>
      </c>
      <c r="N29" s="79" t="s">
        <v>100</v>
      </c>
      <c r="O29" s="79" t="s">
        <v>101</v>
      </c>
      <c r="P29" s="79" t="s">
        <v>102</v>
      </c>
      <c r="Q29" s="79" t="s">
        <v>103</v>
      </c>
      <c r="R29" s="1"/>
      <c r="S29" s="80" t="s">
        <v>90</v>
      </c>
      <c r="T29" s="80"/>
      <c r="U29" s="80"/>
      <c r="V29" s="79" t="s">
        <v>104</v>
      </c>
      <c r="W29" s="79" t="s">
        <v>100</v>
      </c>
      <c r="X29" s="79" t="s">
        <v>105</v>
      </c>
      <c r="Y29" s="79" t="s">
        <v>106</v>
      </c>
      <c r="Z29" s="1"/>
    </row>
    <row r="30" customFormat="false" ht="21" hidden="false" customHeight="true" outlineLevel="0" collapsed="false">
      <c r="A30" s="1"/>
      <c r="B30" s="71"/>
      <c r="C30" s="71"/>
      <c r="D30" s="71"/>
      <c r="E30" s="71"/>
      <c r="F30" s="71"/>
      <c r="G30" s="71"/>
      <c r="H30" s="71"/>
      <c r="I30" s="1"/>
      <c r="J30" s="76" t="s">
        <v>36</v>
      </c>
      <c r="K30" s="76"/>
      <c r="L30" s="81" t="n">
        <f aca="false">COUNTIFS('BASE CONSOLIDADA'!$W$5:$W$129,1,'BASE CONSOLIDADA'!$G$5:$G$129,$J30,'BASE CONSOLIDADA'!$R$5:$R$129,"Ação imediata")</f>
        <v>0</v>
      </c>
      <c r="M30" s="81" t="n">
        <f aca="false">COUNTIFS('BASE CONSOLIDADA'!$W$5:$W$129,1,'BASE CONSOLIDADA'!$G$5:$G$129,$J30,'BASE CONSOLIDADA'!$R$5:$R$129,"Validar cadastro")</f>
        <v>1</v>
      </c>
      <c r="N30" s="81" t="n">
        <f aca="false">COUNTIFS('BASE CONSOLIDADA'!$W$5:$W$129,1,'BASE CONSOLIDADA'!$G$5:$G$129,$J30,'BASE CONSOLIDADA'!$R$5:$R$129,"Em tratamento")</f>
        <v>2</v>
      </c>
      <c r="O30" s="81" t="n">
        <f aca="false">COUNTIFS('BASE CONSOLIDADA'!$W$5:$W$129,1,'BASE CONSOLIDADA'!$G$5:$G$129,$J30,'BASE CONSOLIDADA'!$R$5:$R$129,"Planejar revisão")</f>
        <v>2</v>
      </c>
      <c r="P30" s="81" t="n">
        <f aca="false">COUNTIFS('BASE CONSOLIDADA'!$W$5:$W$129,1,'BASE CONSOLIDADA'!$G$5:$G$129,$J30,'BASE CONSOLIDADA'!$R$5:$R$129,"Regular")</f>
        <v>51</v>
      </c>
      <c r="Q30" s="81" t="n">
        <f aca="false">COUNTIFS('BASE CONSOLIDADA'!$W$5:$W$129,1,'BASE CONSOLIDADA'!$G$5:$G$129,$J30,'BASE CONSOLIDADA'!$R$5:$R$129,"Inativo")</f>
        <v>2</v>
      </c>
      <c r="R30" s="1"/>
      <c r="S30" s="76" t="str">
        <f aca="false">IF('_AUX DASH'!$J$50="","",INDEX('_AUX DASH'!$K$50:$K$69,'_AUX DASH'!$J$50))</f>
        <v>Ana Araujo</v>
      </c>
      <c r="T30" s="76"/>
      <c r="U30" s="76"/>
      <c r="V30" s="82" t="n">
        <f aca="false">IF('_AUX DASH'!$J$50="","",INDEX('_AUX DASH'!$B$50:$B$69,'_AUX DASH'!$J$50))</f>
        <v>46</v>
      </c>
      <c r="W30" s="81" t="n">
        <f aca="false">IF('_AUX DASH'!$J$50="","",INDEX('_AUX DASH'!$C$50:$C$69,'_AUX DASH'!$J$50))</f>
        <v>1</v>
      </c>
      <c r="X30" s="81" t="n">
        <f aca="false">IF('_AUX DASH'!$J$50="","",INDEX('_AUX DASH'!$D$50:$D$69,'_AUX DASH'!$J$50))</f>
        <v>2</v>
      </c>
      <c r="Y30" s="81" t="n">
        <f aca="false">IF('_AUX DASH'!$J$50="","",INDEX('_AUX DASH'!$E$50:$E$69,'_AUX DASH'!$J$50))</f>
        <v>3</v>
      </c>
      <c r="Z30" s="1"/>
    </row>
    <row r="31" customFormat="false" ht="21" hidden="false" customHeight="true" outlineLevel="0" collapsed="false">
      <c r="A31" s="1"/>
      <c r="B31" s="71"/>
      <c r="C31" s="71"/>
      <c r="D31" s="71"/>
      <c r="E31" s="71"/>
      <c r="F31" s="71"/>
      <c r="G31" s="71"/>
      <c r="H31" s="71"/>
      <c r="I31" s="1"/>
      <c r="J31" s="76" t="s">
        <v>38</v>
      </c>
      <c r="K31" s="76"/>
      <c r="L31" s="81" t="n">
        <f aca="false">COUNTIFS('BASE CONSOLIDADA'!$W$5:$W$129,1,'BASE CONSOLIDADA'!$G$5:$G$129,$J31,'BASE CONSOLIDADA'!$R$5:$R$129,"Ação imediata")</f>
        <v>0</v>
      </c>
      <c r="M31" s="81" t="n">
        <f aca="false">COUNTIFS('BASE CONSOLIDADA'!$W$5:$W$129,1,'BASE CONSOLIDADA'!$G$5:$G$129,$J31,'BASE CONSOLIDADA'!$R$5:$R$129,"Validar cadastro")</f>
        <v>0</v>
      </c>
      <c r="N31" s="81" t="n">
        <f aca="false">COUNTIFS('BASE CONSOLIDADA'!$W$5:$W$129,1,'BASE CONSOLIDADA'!$G$5:$G$129,$J31,'BASE CONSOLIDADA'!$R$5:$R$129,"Em tratamento")</f>
        <v>0</v>
      </c>
      <c r="O31" s="81" t="n">
        <f aca="false">COUNTIFS('BASE CONSOLIDADA'!$W$5:$W$129,1,'BASE CONSOLIDADA'!$G$5:$G$129,$J31,'BASE CONSOLIDADA'!$R$5:$R$129,"Planejar revisão")</f>
        <v>3</v>
      </c>
      <c r="P31" s="81" t="n">
        <f aca="false">COUNTIFS('BASE CONSOLIDADA'!$W$5:$W$129,1,'BASE CONSOLIDADA'!$G$5:$G$129,$J31,'BASE CONSOLIDADA'!$R$5:$R$129,"Regular")</f>
        <v>20</v>
      </c>
      <c r="Q31" s="81" t="n">
        <f aca="false">COUNTIFS('BASE CONSOLIDADA'!$W$5:$W$129,1,'BASE CONSOLIDADA'!$G$5:$G$129,$J31,'BASE CONSOLIDADA'!$R$5:$R$129,"Inativo")</f>
        <v>0</v>
      </c>
      <c r="R31" s="1"/>
      <c r="S31" s="76" t="str">
        <f aca="false">IF('_AUX DASH'!$J$51="","",INDEX('_AUX DASH'!$K$50:$K$69,'_AUX DASH'!$J$51))</f>
        <v>Cleiton Pereira</v>
      </c>
      <c r="T31" s="76"/>
      <c r="U31" s="76"/>
      <c r="V31" s="82" t="n">
        <f aca="false">IF('_AUX DASH'!$J$51="","",INDEX('_AUX DASH'!$B$50:$B$69,'_AUX DASH'!$J$51))</f>
        <v>1</v>
      </c>
      <c r="W31" s="81" t="n">
        <f aca="false">IF('_AUX DASH'!$J$51="","",INDEX('_AUX DASH'!$C$50:$C$69,'_AUX DASH'!$J$51))</f>
        <v>0</v>
      </c>
      <c r="X31" s="81" t="n">
        <f aca="false">IF('_AUX DASH'!$J$51="","",INDEX('_AUX DASH'!$D$50:$D$69,'_AUX DASH'!$J$51))</f>
        <v>1</v>
      </c>
      <c r="Y31" s="81" t="n">
        <f aca="false">IF('_AUX DASH'!$J$51="","",INDEX('_AUX DASH'!$E$50:$E$69,'_AUX DASH'!$J$51))</f>
        <v>0</v>
      </c>
      <c r="Z31" s="1"/>
    </row>
    <row r="32" customFormat="false" ht="21" hidden="false" customHeight="true" outlineLevel="0" collapsed="false">
      <c r="A32" s="1"/>
      <c r="B32" s="71"/>
      <c r="C32" s="71"/>
      <c r="D32" s="71"/>
      <c r="E32" s="71"/>
      <c r="F32" s="71"/>
      <c r="G32" s="71"/>
      <c r="H32" s="71"/>
      <c r="I32" s="1"/>
      <c r="J32" s="76" t="s">
        <v>107</v>
      </c>
      <c r="K32" s="76"/>
      <c r="L32" s="81" t="n">
        <f aca="false">COUNTIFS('BASE CONSOLIDADA'!$W$5:$W$129,1,'BASE CONSOLIDADA'!$G$5:$G$129,$J32,'BASE CONSOLIDADA'!$R$5:$R$129,"Ação imediata")</f>
        <v>0</v>
      </c>
      <c r="M32" s="81" t="n">
        <f aca="false">COUNTIFS('BASE CONSOLIDADA'!$W$5:$W$129,1,'BASE CONSOLIDADA'!$G$5:$G$129,$J32,'BASE CONSOLIDADA'!$R$5:$R$129,"Validar cadastro")</f>
        <v>0</v>
      </c>
      <c r="N32" s="81" t="n">
        <f aca="false">COUNTIFS('BASE CONSOLIDADA'!$W$5:$W$129,1,'BASE CONSOLIDADA'!$G$5:$G$129,$J32,'BASE CONSOLIDADA'!$R$5:$R$129,"Em tratamento")</f>
        <v>0</v>
      </c>
      <c r="O32" s="81" t="n">
        <f aca="false">COUNTIFS('BASE CONSOLIDADA'!$W$5:$W$129,1,'BASE CONSOLIDADA'!$G$5:$G$129,$J32,'BASE CONSOLIDADA'!$R$5:$R$129,"Planejar revisão")</f>
        <v>1</v>
      </c>
      <c r="P32" s="81" t="n">
        <f aca="false">COUNTIFS('BASE CONSOLIDADA'!$W$5:$W$129,1,'BASE CONSOLIDADA'!$G$5:$G$129,$J32,'BASE CONSOLIDADA'!$R$5:$R$129,"Regular")</f>
        <v>10</v>
      </c>
      <c r="Q32" s="81" t="n">
        <f aca="false">COUNTIFS('BASE CONSOLIDADA'!$W$5:$W$129,1,'BASE CONSOLIDADA'!$G$5:$G$129,$J32,'BASE CONSOLIDADA'!$R$5:$R$129,"Inativo")</f>
        <v>0</v>
      </c>
      <c r="R32" s="1"/>
      <c r="S32" s="76" t="str">
        <f aca="false">IF('_AUX DASH'!$J$52="","",INDEX('_AUX DASH'!$K$50:$K$69,'_AUX DASH'!$J$52))</f>
        <v>Isabel Pinto</v>
      </c>
      <c r="T32" s="76"/>
      <c r="U32" s="76"/>
      <c r="V32" s="82" t="n">
        <f aca="false">IF('_AUX DASH'!$J$52="","",INDEX('_AUX DASH'!$B$50:$B$69,'_AUX DASH'!$J$52))</f>
        <v>2</v>
      </c>
      <c r="W32" s="81" t="n">
        <f aca="false">IF('_AUX DASH'!$J$52="","",INDEX('_AUX DASH'!$C$50:$C$69,'_AUX DASH'!$J$52))</f>
        <v>1</v>
      </c>
      <c r="X32" s="81" t="n">
        <f aca="false">IF('_AUX DASH'!$J$52="","",INDEX('_AUX DASH'!$D$50:$D$69,'_AUX DASH'!$J$52))</f>
        <v>0</v>
      </c>
      <c r="Y32" s="81" t="n">
        <f aca="false">IF('_AUX DASH'!$J$52="","",INDEX('_AUX DASH'!$E$50:$E$69,'_AUX DASH'!$J$52))</f>
        <v>0</v>
      </c>
      <c r="Z32" s="1"/>
    </row>
    <row r="33" customFormat="false" ht="21" hidden="false" customHeight="true" outlineLevel="0" collapsed="false">
      <c r="A33" s="1"/>
      <c r="B33" s="71"/>
      <c r="C33" s="71"/>
      <c r="D33" s="71"/>
      <c r="E33" s="71"/>
      <c r="F33" s="71"/>
      <c r="G33" s="71"/>
      <c r="H33" s="71"/>
      <c r="I33" s="1"/>
      <c r="J33" s="76" t="s">
        <v>108</v>
      </c>
      <c r="K33" s="76"/>
      <c r="L33" s="81" t="n">
        <f aca="false">COUNTIFS('BASE CONSOLIDADA'!$W$5:$W$129,1,'BASE CONSOLIDADA'!$G$5:$G$129,$J33,'BASE CONSOLIDADA'!$R$5:$R$129,"Ação imediata")</f>
        <v>1</v>
      </c>
      <c r="M33" s="81" t="n">
        <f aca="false">COUNTIFS('BASE CONSOLIDADA'!$W$5:$W$129,1,'BASE CONSOLIDADA'!$G$5:$G$129,$J33,'BASE CONSOLIDADA'!$R$5:$R$129,"Validar cadastro")</f>
        <v>0</v>
      </c>
      <c r="N33" s="81" t="n">
        <f aca="false">COUNTIFS('BASE CONSOLIDADA'!$W$5:$W$129,1,'BASE CONSOLIDADA'!$G$5:$G$129,$J33,'BASE CONSOLIDADA'!$R$5:$R$129,"Em tratamento")</f>
        <v>0</v>
      </c>
      <c r="O33" s="81" t="n">
        <f aca="false">COUNTIFS('BASE CONSOLIDADA'!$W$5:$W$129,1,'BASE CONSOLIDADA'!$G$5:$G$129,$J33,'BASE CONSOLIDADA'!$R$5:$R$129,"Planejar revisão")</f>
        <v>3</v>
      </c>
      <c r="P33" s="81" t="n">
        <f aca="false">COUNTIFS('BASE CONSOLIDADA'!$W$5:$W$129,1,'BASE CONSOLIDADA'!$G$5:$G$129,$J33,'BASE CONSOLIDADA'!$R$5:$R$129,"Regular")</f>
        <v>7</v>
      </c>
      <c r="Q33" s="81" t="n">
        <f aca="false">COUNTIFS('BASE CONSOLIDADA'!$W$5:$W$129,1,'BASE CONSOLIDADA'!$G$5:$G$129,$J33,'BASE CONSOLIDADA'!$R$5:$R$129,"Inativo")</f>
        <v>0</v>
      </c>
      <c r="R33" s="1"/>
      <c r="S33" s="76" t="str">
        <f aca="false">IF('_AUX DASH'!$J$53="","",INDEX('_AUX DASH'!$K$50:$K$69,'_AUX DASH'!$J$53))</f>
        <v>Bruna Goldschmidt</v>
      </c>
      <c r="T33" s="76"/>
      <c r="U33" s="76"/>
      <c r="V33" s="82" t="n">
        <f aca="false">IF('_AUX DASH'!$J$53="","",INDEX('_AUX DASH'!$B$50:$B$69,'_AUX DASH'!$J$53))</f>
        <v>1</v>
      </c>
      <c r="W33" s="81" t="n">
        <f aca="false">IF('_AUX DASH'!$J$53="","",INDEX('_AUX DASH'!$C$50:$C$69,'_AUX DASH'!$J$53))</f>
        <v>1</v>
      </c>
      <c r="X33" s="81" t="n">
        <f aca="false">IF('_AUX DASH'!$J$53="","",INDEX('_AUX DASH'!$D$50:$D$69,'_AUX DASH'!$J$53))</f>
        <v>0</v>
      </c>
      <c r="Y33" s="81" t="n">
        <f aca="false">IF('_AUX DASH'!$J$53="","",INDEX('_AUX DASH'!$E$50:$E$69,'_AUX DASH'!$J$53))</f>
        <v>0</v>
      </c>
      <c r="Z33" s="1"/>
    </row>
    <row r="34" customFormat="false" ht="21" hidden="false" customHeight="true" outlineLevel="0" collapsed="false">
      <c r="A34" s="1"/>
      <c r="B34" s="71"/>
      <c r="C34" s="71"/>
      <c r="D34" s="71"/>
      <c r="E34" s="71"/>
      <c r="F34" s="71"/>
      <c r="G34" s="71"/>
      <c r="H34" s="71"/>
      <c r="I34" s="1"/>
      <c r="J34" s="76" t="s">
        <v>109</v>
      </c>
      <c r="K34" s="76"/>
      <c r="L34" s="81" t="n">
        <f aca="false">COUNTIFS('BASE CONSOLIDADA'!$W$5:$W$129,1,'BASE CONSOLIDADA'!$G$5:$G$129,$J34,'BASE CONSOLIDADA'!$R$5:$R$129,"Ação imediata")</f>
        <v>0</v>
      </c>
      <c r="M34" s="81" t="n">
        <f aca="false">COUNTIFS('BASE CONSOLIDADA'!$W$5:$W$129,1,'BASE CONSOLIDADA'!$G$5:$G$129,$J34,'BASE CONSOLIDADA'!$R$5:$R$129,"Validar cadastro")</f>
        <v>0</v>
      </c>
      <c r="N34" s="81" t="n">
        <f aca="false">COUNTIFS('BASE CONSOLIDADA'!$W$5:$W$129,1,'BASE CONSOLIDADA'!$G$5:$G$129,$J34,'BASE CONSOLIDADA'!$R$5:$R$129,"Em tratamento")</f>
        <v>1</v>
      </c>
      <c r="O34" s="81" t="n">
        <f aca="false">COUNTIFS('BASE CONSOLIDADA'!$W$5:$W$129,1,'BASE CONSOLIDADA'!$G$5:$G$129,$J34,'BASE CONSOLIDADA'!$R$5:$R$129,"Planejar revisão")</f>
        <v>2</v>
      </c>
      <c r="P34" s="81" t="n">
        <f aca="false">COUNTIFS('BASE CONSOLIDADA'!$W$5:$W$129,1,'BASE CONSOLIDADA'!$G$5:$G$129,$J34,'BASE CONSOLIDADA'!$R$5:$R$129,"Regular")</f>
        <v>6</v>
      </c>
      <c r="Q34" s="81" t="n">
        <f aca="false">COUNTIFS('BASE CONSOLIDADA'!$W$5:$W$129,1,'BASE CONSOLIDADA'!$G$5:$G$129,$J34,'BASE CONSOLIDADA'!$R$5:$R$129,"Inativo")</f>
        <v>1</v>
      </c>
      <c r="R34" s="1"/>
      <c r="S34" s="76" t="str">
        <f aca="false">IF('_AUX DASH'!$J$54="","",INDEX('_AUX DASH'!$K$50:$K$69,'_AUX DASH'!$J$54))</f>
        <v>Ana Oliveira</v>
      </c>
      <c r="T34" s="76"/>
      <c r="U34" s="76"/>
      <c r="V34" s="82" t="n">
        <f aca="false">IF('_AUX DASH'!$J$54="","",INDEX('_AUX DASH'!$B$50:$B$69,'_AUX DASH'!$J$54))</f>
        <v>26</v>
      </c>
      <c r="W34" s="81" t="n">
        <f aca="false">IF('_AUX DASH'!$J$54="","",INDEX('_AUX DASH'!$C$50:$C$69,'_AUX DASH'!$J$54))</f>
        <v>0</v>
      </c>
      <c r="X34" s="81" t="n">
        <f aca="false">IF('_AUX DASH'!$J$54="","",INDEX('_AUX DASH'!$D$50:$D$69,'_AUX DASH'!$J$54))</f>
        <v>0</v>
      </c>
      <c r="Y34" s="81" t="n">
        <f aca="false">IF('_AUX DASH'!$J$54="","",INDEX('_AUX DASH'!$E$50:$E$69,'_AUX DASH'!$J$54))</f>
        <v>3</v>
      </c>
      <c r="Z34" s="1"/>
    </row>
    <row r="35" customFormat="false" ht="21" hidden="false" customHeight="true" outlineLevel="0" collapsed="false">
      <c r="A35" s="1"/>
      <c r="B35" s="71"/>
      <c r="C35" s="71"/>
      <c r="D35" s="71"/>
      <c r="E35" s="71"/>
      <c r="F35" s="71"/>
      <c r="G35" s="71"/>
      <c r="H35" s="71"/>
      <c r="I35" s="1"/>
      <c r="J35" s="76" t="s">
        <v>110</v>
      </c>
      <c r="K35" s="76"/>
      <c r="L35" s="81" t="n">
        <f aca="false">COUNTIFS('BASE CONSOLIDADA'!$W$5:$W$129,1,'BASE CONSOLIDADA'!$G$5:$G$129,$J35,'BASE CONSOLIDADA'!$R$5:$R$129,"Ação imediata")</f>
        <v>0</v>
      </c>
      <c r="M35" s="81" t="n">
        <f aca="false">COUNTIFS('BASE CONSOLIDADA'!$W$5:$W$129,1,'BASE CONSOLIDADA'!$G$5:$G$129,$J35,'BASE CONSOLIDADA'!$R$5:$R$129,"Validar cadastro")</f>
        <v>1</v>
      </c>
      <c r="N35" s="81" t="n">
        <f aca="false">COUNTIFS('BASE CONSOLIDADA'!$W$5:$W$129,1,'BASE CONSOLIDADA'!$G$5:$G$129,$J35,'BASE CONSOLIDADA'!$R$5:$R$129,"Em tratamento")</f>
        <v>0</v>
      </c>
      <c r="O35" s="81" t="n">
        <f aca="false">COUNTIFS('BASE CONSOLIDADA'!$W$5:$W$129,1,'BASE CONSOLIDADA'!$G$5:$G$129,$J35,'BASE CONSOLIDADA'!$R$5:$R$129,"Planejar revisão")</f>
        <v>1</v>
      </c>
      <c r="P35" s="81" t="n">
        <f aca="false">COUNTIFS('BASE CONSOLIDADA'!$W$5:$W$129,1,'BASE CONSOLIDADA'!$G$5:$G$129,$J35,'BASE CONSOLIDADA'!$R$5:$R$129,"Regular")</f>
        <v>7</v>
      </c>
      <c r="Q35" s="81" t="n">
        <f aca="false">COUNTIFS('BASE CONSOLIDADA'!$W$5:$W$129,1,'BASE CONSOLIDADA'!$G$5:$G$129,$J35,'BASE CONSOLIDADA'!$R$5:$R$129,"Inativo")</f>
        <v>0</v>
      </c>
      <c r="R35" s="1"/>
      <c r="S35" s="76" t="str">
        <f aca="false">IF('_AUX DASH'!$J$55="","",INDEX('_AUX DASH'!$K$50:$K$69,'_AUX DASH'!$J$55))</f>
        <v>Fatima Guterres</v>
      </c>
      <c r="T35" s="76"/>
      <c r="U35" s="76"/>
      <c r="V35" s="82" t="n">
        <f aca="false">IF('_AUX DASH'!$J$55="","",INDEX('_AUX DASH'!$B$50:$B$69,'_AUX DASH'!$J$55))</f>
        <v>11</v>
      </c>
      <c r="W35" s="81" t="n">
        <f aca="false">IF('_AUX DASH'!$J$55="","",INDEX('_AUX DASH'!$C$50:$C$69,'_AUX DASH'!$J$55))</f>
        <v>0</v>
      </c>
      <c r="X35" s="81" t="n">
        <f aca="false">IF('_AUX DASH'!$J$55="","",INDEX('_AUX DASH'!$D$50:$D$69,'_AUX DASH'!$J$55))</f>
        <v>0</v>
      </c>
      <c r="Y35" s="81" t="n">
        <f aca="false">IF('_AUX DASH'!$J$55="","",INDEX('_AUX DASH'!$E$50:$E$69,'_AUX DASH'!$J$55))</f>
        <v>2</v>
      </c>
      <c r="Z35" s="1"/>
    </row>
    <row r="36" customFormat="false" ht="21" hidden="false" customHeight="true" outlineLevel="0" collapsed="false">
      <c r="A36" s="1"/>
      <c r="B36" s="71"/>
      <c r="C36" s="71"/>
      <c r="D36" s="71"/>
      <c r="E36" s="71"/>
      <c r="F36" s="71"/>
      <c r="G36" s="71"/>
      <c r="H36" s="71"/>
      <c r="I36" s="1"/>
      <c r="J36" s="76" t="s">
        <v>111</v>
      </c>
      <c r="K36" s="76"/>
      <c r="L36" s="81" t="n">
        <f aca="false">COUNTIFS('BASE CONSOLIDADA'!$W$5:$W$129,1,'BASE CONSOLIDADA'!$G$5:$G$129,$J36,'BASE CONSOLIDADA'!$R$5:$R$129,"Ação imediata")</f>
        <v>0</v>
      </c>
      <c r="M36" s="81" t="n">
        <f aca="false">COUNTIFS('BASE CONSOLIDADA'!$W$5:$W$129,1,'BASE CONSOLIDADA'!$G$5:$G$129,$J36,'BASE CONSOLIDADA'!$R$5:$R$129,"Validar cadastro")</f>
        <v>0</v>
      </c>
      <c r="N36" s="81" t="n">
        <f aca="false">COUNTIFS('BASE CONSOLIDADA'!$W$5:$W$129,1,'BASE CONSOLIDADA'!$G$5:$G$129,$J36,'BASE CONSOLIDADA'!$R$5:$R$129,"Em tratamento")</f>
        <v>0</v>
      </c>
      <c r="O36" s="81" t="n">
        <f aca="false">COUNTIFS('BASE CONSOLIDADA'!$W$5:$W$129,1,'BASE CONSOLIDADA'!$G$5:$G$129,$J36,'BASE CONSOLIDADA'!$R$5:$R$129,"Planejar revisão")</f>
        <v>0</v>
      </c>
      <c r="P36" s="81" t="n">
        <f aca="false">COUNTIFS('BASE CONSOLIDADA'!$W$5:$W$129,1,'BASE CONSOLIDADA'!$G$5:$G$129,$J36,'BASE CONSOLIDADA'!$R$5:$R$129,"Regular")</f>
        <v>3</v>
      </c>
      <c r="Q36" s="81" t="n">
        <f aca="false">COUNTIFS('BASE CONSOLIDADA'!$W$5:$W$129,1,'BASE CONSOLIDADA'!$G$5:$G$129,$J36,'BASE CONSOLIDADA'!$R$5:$R$129,"Inativo")</f>
        <v>0</v>
      </c>
      <c r="R36" s="1"/>
      <c r="S36" s="76" t="str">
        <f aca="false">IF('_AUX DASH'!$J$56="","",INDEX('_AUX DASH'!$K$50:$K$69,'_AUX DASH'!$J$56))</f>
        <v>Elton Taborda</v>
      </c>
      <c r="T36" s="76"/>
      <c r="U36" s="76"/>
      <c r="V36" s="82" t="n">
        <f aca="false">IF('_AUX DASH'!$J$56="","",INDEX('_AUX DASH'!$B$50:$B$69,'_AUX DASH'!$J$56))</f>
        <v>2</v>
      </c>
      <c r="W36" s="81" t="n">
        <f aca="false">IF('_AUX DASH'!$J$56="","",INDEX('_AUX DASH'!$C$50:$C$69,'_AUX DASH'!$J$56))</f>
        <v>0</v>
      </c>
      <c r="X36" s="81" t="n">
        <f aca="false">IF('_AUX DASH'!$J$56="","",INDEX('_AUX DASH'!$D$50:$D$69,'_AUX DASH'!$J$56))</f>
        <v>0</v>
      </c>
      <c r="Y36" s="81" t="n">
        <f aca="false">IF('_AUX DASH'!$J$56="","",INDEX('_AUX DASH'!$E$50:$E$69,'_AUX DASH'!$J$56))</f>
        <v>2</v>
      </c>
      <c r="Z36" s="1"/>
    </row>
    <row r="37" customFormat="false" ht="21" hidden="false" customHeight="true" outlineLevel="0" collapsed="false">
      <c r="A37" s="1"/>
      <c r="B37" s="71"/>
      <c r="C37" s="71"/>
      <c r="D37" s="71"/>
      <c r="E37" s="71"/>
      <c r="F37" s="71"/>
      <c r="G37" s="71"/>
      <c r="H37" s="71"/>
      <c r="I37" s="1"/>
      <c r="J37" s="83" t="s">
        <v>104</v>
      </c>
      <c r="K37" s="83"/>
      <c r="L37" s="84" t="n">
        <f aca="false">SUM(L30:L36)</f>
        <v>1</v>
      </c>
      <c r="M37" s="84" t="n">
        <f aca="false">SUM(M30:M36)</f>
        <v>2</v>
      </c>
      <c r="N37" s="84" t="n">
        <f aca="false">SUM(N30:N36)</f>
        <v>3</v>
      </c>
      <c r="O37" s="84" t="n">
        <f aca="false">SUM(O30:O36)</f>
        <v>12</v>
      </c>
      <c r="P37" s="84" t="n">
        <f aca="false">SUM(P30:P36)</f>
        <v>104</v>
      </c>
      <c r="Q37" s="84" t="n">
        <f aca="false">SUM(Q30:Q36)</f>
        <v>3</v>
      </c>
      <c r="R37" s="1"/>
      <c r="S37" s="76" t="str">
        <f aca="false">IF('_AUX DASH'!$J$57="","",INDEX('_AUX DASH'!$K$50:$K$69,'_AUX DASH'!$J$57))</f>
        <v>Lais Nascimento</v>
      </c>
      <c r="T37" s="76"/>
      <c r="U37" s="76"/>
      <c r="V37" s="82" t="n">
        <f aca="false">IF('_AUX DASH'!$J$57="","",INDEX('_AUX DASH'!$B$50:$B$69,'_AUX DASH'!$J$57))</f>
        <v>2</v>
      </c>
      <c r="W37" s="81" t="n">
        <f aca="false">IF('_AUX DASH'!$J$57="","",INDEX('_AUX DASH'!$C$50:$C$69,'_AUX DASH'!$J$57))</f>
        <v>0</v>
      </c>
      <c r="X37" s="81" t="n">
        <f aca="false">IF('_AUX DASH'!$J$57="","",INDEX('_AUX DASH'!$D$50:$D$69,'_AUX DASH'!$J$57))</f>
        <v>0</v>
      </c>
      <c r="Y37" s="81" t="n">
        <f aca="false">IF('_AUX DASH'!$J$57="","",INDEX('_AUX DASH'!$E$50:$E$69,'_AUX DASH'!$J$57))</f>
        <v>1</v>
      </c>
      <c r="Z37" s="1"/>
    </row>
    <row r="38" customFormat="false" ht="15.75" hidden="false" customHeight="true" outlineLevel="0" collapsed="false">
      <c r="A38" s="1"/>
      <c r="B38" s="71"/>
      <c r="C38" s="71"/>
      <c r="D38" s="71"/>
      <c r="E38" s="71"/>
      <c r="F38" s="71"/>
      <c r="G38" s="71"/>
      <c r="H38" s="71"/>
      <c r="I38" s="1"/>
      <c r="J38" s="71"/>
      <c r="K38" s="71"/>
      <c r="L38" s="71"/>
      <c r="M38" s="71"/>
      <c r="N38" s="71"/>
      <c r="O38" s="71"/>
      <c r="P38" s="71"/>
      <c r="Q38" s="71"/>
      <c r="R38" s="1"/>
      <c r="S38" s="85" t="str">
        <f aca="false">COUNTIF('_AUX DASH'!$B$50:$B$69,"&gt;0")&amp;" responsáveis com carteira · lista completa em _AUX DASH"</f>
        <v>20 responsáveis com carteira · lista completa em _AUX DASH</v>
      </c>
      <c r="T38" s="85"/>
      <c r="U38" s="85"/>
      <c r="V38" s="85"/>
      <c r="W38" s="85"/>
      <c r="X38" s="85"/>
      <c r="Y38" s="85"/>
      <c r="Z38" s="1"/>
    </row>
    <row r="39" customFormat="false" ht="13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21.75" hidden="false" customHeight="true" outlineLevel="0" collapsed="false">
      <c r="A40" s="1"/>
      <c r="B40" s="86" t="s">
        <v>112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1"/>
    </row>
    <row r="41" customFormat="false" ht="18" hidden="false" customHeight="true" outlineLevel="0" collapsed="false">
      <c r="A41" s="1"/>
      <c r="B41" s="87" t="s">
        <v>113</v>
      </c>
      <c r="C41" s="87"/>
      <c r="D41" s="87"/>
      <c r="E41" s="87" t="s">
        <v>114</v>
      </c>
      <c r="F41" s="87"/>
      <c r="G41" s="87"/>
      <c r="H41" s="87"/>
      <c r="I41" s="87" t="s">
        <v>115</v>
      </c>
      <c r="J41" s="87"/>
      <c r="K41" s="87"/>
      <c r="L41" s="87" t="s">
        <v>116</v>
      </c>
      <c r="M41" s="87"/>
      <c r="N41" s="87"/>
      <c r="O41" s="87"/>
      <c r="P41" s="87" t="s">
        <v>117</v>
      </c>
      <c r="Q41" s="87"/>
      <c r="R41" s="87"/>
      <c r="S41" s="87" t="s">
        <v>118</v>
      </c>
      <c r="T41" s="87"/>
      <c r="U41" s="87"/>
      <c r="V41" s="87"/>
      <c r="W41" s="87" t="s">
        <v>119</v>
      </c>
      <c r="X41" s="87"/>
      <c r="Y41" s="87"/>
      <c r="Z41" s="1"/>
    </row>
    <row r="42" customFormat="false" ht="25.5" hidden="false" customHeight="true" outlineLevel="0" collapsed="false">
      <c r="A42" s="1"/>
      <c r="B42" s="88" t="n">
        <f aca="false">COUNTA('NDocs FMG e ANX'!$B$3:$B$42)</f>
        <v>38</v>
      </c>
      <c r="C42" s="88"/>
      <c r="D42" s="88"/>
      <c r="E42" s="88" t="n">
        <f aca="false">COUNTA('Documentos Transversais'!$B$3:$B$57)</f>
        <v>51</v>
      </c>
      <c r="F42" s="88"/>
      <c r="G42" s="88"/>
      <c r="H42" s="88"/>
      <c r="I42" s="88" t="n">
        <f aca="false">COUNTA(LPP!$A$3:$A$124)</f>
        <v>122</v>
      </c>
      <c r="J42" s="88"/>
      <c r="K42" s="88"/>
      <c r="L42" s="88" t="n">
        <f aca="false">COUNTA('AST AOL'!$A$3:$A$43)</f>
        <v>35</v>
      </c>
      <c r="M42" s="88"/>
      <c r="N42" s="88"/>
      <c r="O42" s="88"/>
      <c r="P42" s="88" t="n">
        <f aca="false">COUNTA('AST Geral'!$A$3:$A$43)</f>
        <v>23</v>
      </c>
      <c r="Q42" s="88"/>
      <c r="R42" s="88"/>
      <c r="S42" s="88" t="n">
        <f aca="false">COUNTA('RT''s'!$B$3:$B$16)</f>
        <v>9</v>
      </c>
      <c r="T42" s="88"/>
      <c r="U42" s="88"/>
      <c r="V42" s="88"/>
      <c r="W42" s="88" t="n">
        <f aca="false">COUNTA(MO!$B$3:$B$20)</f>
        <v>5</v>
      </c>
      <c r="X42" s="88"/>
      <c r="Y42" s="88"/>
      <c r="Z42" s="1"/>
    </row>
    <row r="43" customFormat="false" ht="18" hidden="false" customHeight="true" outlineLevel="0" collapsed="false">
      <c r="A43" s="1"/>
      <c r="B43" s="89" t="str">
        <f aca="false">IF(SUMPRODUCT(--ISERROR('NDocs FMG e ANX'!$A$3:$N$42))&gt;0,"⚠ "&amp;SUMPRODUCT(--ISERROR('NDocs FMG e ANX'!$A$3:$N$42))&amp;" erro(s) legado(s)","Abrir aba →")</f>
        <v>Abrir aba →</v>
      </c>
      <c r="C43" s="89"/>
      <c r="D43" s="89"/>
      <c r="E43" s="89" t="str">
        <f aca="false">IF(SUMPRODUCT(--ISERROR('Documentos Transversais'!$A$3:$N$57))&gt;0,"⚠ "&amp;SUMPRODUCT(--ISERROR('Documentos Transversais'!$A$3:$N$57))&amp;" erro(s) legado(s)","Abrir aba →")</f>
        <v>Abrir aba →</v>
      </c>
      <c r="F43" s="89"/>
      <c r="G43" s="89"/>
      <c r="H43" s="89"/>
      <c r="I43" s="89" t="str">
        <f aca="false">IF(SUMPRODUCT(--ISERROR(LPP!$A$3:$N$124))&gt;0,"⚠ "&amp;SUMPRODUCT(--ISERROR(LPP!$A$3:$N$124))&amp;" erro(s) legado(s)","Abrir aba →")</f>
        <v>⚠ 25 erro(s) legado(s)</v>
      </c>
      <c r="J43" s="89"/>
      <c r="K43" s="89"/>
      <c r="L43" s="89" t="str">
        <f aca="false">IF(SUMPRODUCT(--ISERROR('AST AOL'!$A$3:$N$43))&gt;0,"⚠ "&amp;SUMPRODUCT(--ISERROR('AST AOL'!$A$3:$N$43))&amp;" erro(s) legado(s)","Abrir aba →")</f>
        <v>Abrir aba →</v>
      </c>
      <c r="M43" s="89"/>
      <c r="N43" s="89"/>
      <c r="O43" s="89"/>
      <c r="P43" s="89" t="str">
        <f aca="false">IF(SUMPRODUCT(--ISERROR('AST Geral'!$A$3:$N$43))&gt;0,"⚠ "&amp;SUMPRODUCT(--ISERROR('AST Geral'!$A$3:$N$43))&amp;" erro(s) legado(s)","Abrir aba →")</f>
        <v>⚠ 1 erro(s) legado(s)</v>
      </c>
      <c r="Q43" s="89"/>
      <c r="R43" s="89"/>
      <c r="S43" s="89" t="str">
        <f aca="false">IF(SUMPRODUCT(--ISERROR('RT''s'!$A$3:$N$16))&gt;0,"⚠ "&amp;SUMPRODUCT(--ISERROR('RT''s'!$A$3:$N$16))&amp;" erro(s) legado(s)","Abrir aba →")</f>
        <v>Abrir aba →</v>
      </c>
      <c r="T43" s="89"/>
      <c r="U43" s="89"/>
      <c r="V43" s="89"/>
      <c r="W43" s="89" t="str">
        <f aca="false">IF(SUMPRODUCT(--ISERROR(MO!$A$3:$N$20))&gt;0,"⚠ "&amp;SUMPRODUCT(--ISERROR(MO!$A$3:$N$20))&amp;" erro(s) legado(s)","Abrir aba →")</f>
        <v>Abrir aba →</v>
      </c>
      <c r="X43" s="89"/>
      <c r="Y43" s="89"/>
      <c r="Z43" s="1"/>
    </row>
    <row r="44" customFormat="false" ht="12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1"/>
      <c r="B45" s="90" t="s">
        <v>120</v>
      </c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1"/>
    </row>
    <row r="46" customFormat="false" ht="15" hidden="false" customHeight="true" outlineLevel="0" collapsed="false">
      <c r="A46" s="1"/>
      <c r="B46" s="90" t="s">
        <v>121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1"/>
    </row>
    <row r="47" customFormat="false" ht="15" hidden="false" customHeight="true" outlineLevel="0" collapsed="false">
      <c r="A47" s="1"/>
      <c r="B47" s="90" t="s">
        <v>122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1"/>
    </row>
    <row r="48" customFormat="false" ht="1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</sheetData>
  <mergeCells count="141">
    <mergeCell ref="B2:N2"/>
    <mergeCell ref="R2:U2"/>
    <mergeCell ref="V2:Y2"/>
    <mergeCell ref="B3:N3"/>
    <mergeCell ref="R3:U3"/>
    <mergeCell ref="V3:Y3"/>
    <mergeCell ref="B4:D4"/>
    <mergeCell ref="E4:G4"/>
    <mergeCell ref="H4:J4"/>
    <mergeCell ref="K4:M4"/>
    <mergeCell ref="N4:P4"/>
    <mergeCell ref="Q4:S4"/>
    <mergeCell ref="T4:Y4"/>
    <mergeCell ref="B6:E6"/>
    <mergeCell ref="F6:I6"/>
    <mergeCell ref="J6:M6"/>
    <mergeCell ref="N6:R6"/>
    <mergeCell ref="S6:V6"/>
    <mergeCell ref="W6:Y7"/>
    <mergeCell ref="B7:E7"/>
    <mergeCell ref="F7:I7"/>
    <mergeCell ref="J7:M7"/>
    <mergeCell ref="N7:R7"/>
    <mergeCell ref="S7:V7"/>
    <mergeCell ref="B9:E9"/>
    <mergeCell ref="F9:I9"/>
    <mergeCell ref="J9:M9"/>
    <mergeCell ref="N9:Q9"/>
    <mergeCell ref="R9:U9"/>
    <mergeCell ref="V9:Y9"/>
    <mergeCell ref="B10:E10"/>
    <mergeCell ref="F10:I10"/>
    <mergeCell ref="J10:M10"/>
    <mergeCell ref="N10:Q10"/>
    <mergeCell ref="R10:U10"/>
    <mergeCell ref="V10:Y10"/>
    <mergeCell ref="B11:E11"/>
    <mergeCell ref="F11:I11"/>
    <mergeCell ref="J11:M11"/>
    <mergeCell ref="N11:Q11"/>
    <mergeCell ref="R11:U11"/>
    <mergeCell ref="V11:Y11"/>
    <mergeCell ref="B14:P14"/>
    <mergeCell ref="R14:Y14"/>
    <mergeCell ref="B15:P15"/>
    <mergeCell ref="R15:Y15"/>
    <mergeCell ref="C16:E16"/>
    <mergeCell ref="F16:I16"/>
    <mergeCell ref="K16:L16"/>
    <mergeCell ref="M16:N16"/>
    <mergeCell ref="O16:P16"/>
    <mergeCell ref="C17:E17"/>
    <mergeCell ref="F17:I17"/>
    <mergeCell ref="K17:L17"/>
    <mergeCell ref="M17:N17"/>
    <mergeCell ref="O17:P17"/>
    <mergeCell ref="C18:E18"/>
    <mergeCell ref="F18:I18"/>
    <mergeCell ref="K18:L18"/>
    <mergeCell ref="M18:N18"/>
    <mergeCell ref="O18:P18"/>
    <mergeCell ref="C19:E19"/>
    <mergeCell ref="F19:I19"/>
    <mergeCell ref="K19:L19"/>
    <mergeCell ref="M19:N19"/>
    <mergeCell ref="O19:P19"/>
    <mergeCell ref="C20:E20"/>
    <mergeCell ref="F20:I20"/>
    <mergeCell ref="K20:L20"/>
    <mergeCell ref="M20:N20"/>
    <mergeCell ref="O20:P20"/>
    <mergeCell ref="C21:E21"/>
    <mergeCell ref="F21:I21"/>
    <mergeCell ref="K21:L21"/>
    <mergeCell ref="M21:N21"/>
    <mergeCell ref="O21:P21"/>
    <mergeCell ref="C22:E22"/>
    <mergeCell ref="F22:I22"/>
    <mergeCell ref="K22:L22"/>
    <mergeCell ref="M22:N22"/>
    <mergeCell ref="O22:P22"/>
    <mergeCell ref="C23:E23"/>
    <mergeCell ref="F23:I23"/>
    <mergeCell ref="K23:L23"/>
    <mergeCell ref="M23:N23"/>
    <mergeCell ref="O23:P23"/>
    <mergeCell ref="C24:E24"/>
    <mergeCell ref="F24:I24"/>
    <mergeCell ref="K24:L24"/>
    <mergeCell ref="M24:N24"/>
    <mergeCell ref="O24:P24"/>
    <mergeCell ref="B27:H27"/>
    <mergeCell ref="J27:Q27"/>
    <mergeCell ref="S27:Y27"/>
    <mergeCell ref="B28:H28"/>
    <mergeCell ref="J28:Q28"/>
    <mergeCell ref="S28:Y28"/>
    <mergeCell ref="J29:K29"/>
    <mergeCell ref="S29:U29"/>
    <mergeCell ref="J30:K30"/>
    <mergeCell ref="S30:U30"/>
    <mergeCell ref="J31:K31"/>
    <mergeCell ref="S31:U31"/>
    <mergeCell ref="J32:K32"/>
    <mergeCell ref="S32:U32"/>
    <mergeCell ref="J33:K33"/>
    <mergeCell ref="S33:U33"/>
    <mergeCell ref="J34:K34"/>
    <mergeCell ref="S34:U34"/>
    <mergeCell ref="J35:K35"/>
    <mergeCell ref="S35:U35"/>
    <mergeCell ref="J36:K36"/>
    <mergeCell ref="S36:U36"/>
    <mergeCell ref="J37:K37"/>
    <mergeCell ref="S37:U37"/>
    <mergeCell ref="S38:Y38"/>
    <mergeCell ref="B40:Y40"/>
    <mergeCell ref="B41:D41"/>
    <mergeCell ref="E41:H41"/>
    <mergeCell ref="I41:K41"/>
    <mergeCell ref="L41:O41"/>
    <mergeCell ref="P41:R41"/>
    <mergeCell ref="S41:V41"/>
    <mergeCell ref="W41:Y41"/>
    <mergeCell ref="B42:D42"/>
    <mergeCell ref="E42:H42"/>
    <mergeCell ref="I42:K42"/>
    <mergeCell ref="L42:O42"/>
    <mergeCell ref="P42:R42"/>
    <mergeCell ref="S42:V42"/>
    <mergeCell ref="W42:Y42"/>
    <mergeCell ref="B43:D43"/>
    <mergeCell ref="E43:H43"/>
    <mergeCell ref="I43:K43"/>
    <mergeCell ref="L43:O43"/>
    <mergeCell ref="P43:R43"/>
    <mergeCell ref="S43:V43"/>
    <mergeCell ref="W43:Y43"/>
    <mergeCell ref="B45:Y45"/>
    <mergeCell ref="B46:Y46"/>
    <mergeCell ref="B47:Y47"/>
  </mergeCells>
  <conditionalFormatting sqref="N10">
    <cfRule type="cellIs" priority="2" operator="equal" aboveAverage="0" equalAverage="0" bottom="0" percent="0" rank="0" text="" dxfId="0">
      <formula>0</formula>
    </cfRule>
  </conditionalFormatting>
  <conditionalFormatting sqref="V10">
    <cfRule type="cellIs" priority="3" operator="lessThan" aboveAverage="0" equalAverage="0" bottom="0" percent="0" rank="0" text="" dxfId="1">
      <formula>0.9</formula>
    </cfRule>
  </conditionalFormatting>
  <conditionalFormatting sqref="B17">
    <cfRule type="cellIs" priority="4" operator="lessThanOrEqual" aboveAverage="0" equalAverage="0" bottom="0" percent="0" rank="0" text="" dxfId="2">
      <formula>2</formula>
    </cfRule>
    <cfRule type="cellIs" priority="5" operator="between" aboveAverage="0" equalAverage="0" bottom="0" percent="0" rank="0" text="" dxfId="3">
      <formula>3</formula>
      <formula>5</formula>
    </cfRule>
    <cfRule type="cellIs" priority="6" operator="equal" aboveAverage="0" equalAverage="0" bottom="0" percent="0" rank="0" text="" dxfId="4">
      <formula>6</formula>
    </cfRule>
  </conditionalFormatting>
  <conditionalFormatting sqref="K17">
    <cfRule type="cellIs" priority="7" operator="equal" aboveAverage="0" equalAverage="0" bottom="0" percent="0" rank="0" text="" dxfId="5">
      <formula>"Ação imediata"</formula>
    </cfRule>
    <cfRule type="cellIs" priority="8" operator="equal" aboveAverage="0" equalAverage="0" bottom="0" percent="0" rank="0" text="" dxfId="5">
      <formula>"Validar cadastro"</formula>
    </cfRule>
    <cfRule type="cellIs" priority="9" operator="equal" aboveAverage="0" equalAverage="0" bottom="0" percent="0" rank="0" text="" dxfId="6">
      <formula>"Em tratamento"</formula>
    </cfRule>
    <cfRule type="cellIs" priority="10" operator="equal" aboveAverage="0" equalAverage="0" bottom="0" percent="0" rank="0" text="" dxfId="6">
      <formula>"Planejar revisão"</formula>
    </cfRule>
  </conditionalFormatting>
  <conditionalFormatting sqref="B18">
    <cfRule type="cellIs" priority="11" operator="lessThanOrEqual" aboveAverage="0" equalAverage="0" bottom="0" percent="0" rank="0" text="" dxfId="2">
      <formula>2</formula>
    </cfRule>
    <cfRule type="cellIs" priority="12" operator="between" aboveAverage="0" equalAverage="0" bottom="0" percent="0" rank="0" text="" dxfId="3">
      <formula>3</formula>
      <formula>5</formula>
    </cfRule>
    <cfRule type="cellIs" priority="13" operator="equal" aboveAverage="0" equalAverage="0" bottom="0" percent="0" rank="0" text="" dxfId="4">
      <formula>6</formula>
    </cfRule>
  </conditionalFormatting>
  <conditionalFormatting sqref="K18">
    <cfRule type="cellIs" priority="14" operator="equal" aboveAverage="0" equalAverage="0" bottom="0" percent="0" rank="0" text="" dxfId="5">
      <formula>"Ação imediata"</formula>
    </cfRule>
    <cfRule type="cellIs" priority="15" operator="equal" aboveAverage="0" equalAverage="0" bottom="0" percent="0" rank="0" text="" dxfId="5">
      <formula>"Validar cadastro"</formula>
    </cfRule>
    <cfRule type="cellIs" priority="16" operator="equal" aboveAverage="0" equalAverage="0" bottom="0" percent="0" rank="0" text="" dxfId="6">
      <formula>"Em tratamento"</formula>
    </cfRule>
    <cfRule type="cellIs" priority="17" operator="equal" aboveAverage="0" equalAverage="0" bottom="0" percent="0" rank="0" text="" dxfId="6">
      <formula>"Planejar revisão"</formula>
    </cfRule>
  </conditionalFormatting>
  <conditionalFormatting sqref="B19">
    <cfRule type="cellIs" priority="18" operator="lessThanOrEqual" aboveAverage="0" equalAverage="0" bottom="0" percent="0" rank="0" text="" dxfId="2">
      <formula>2</formula>
    </cfRule>
    <cfRule type="cellIs" priority="19" operator="between" aboveAverage="0" equalAverage="0" bottom="0" percent="0" rank="0" text="" dxfId="3">
      <formula>3</formula>
      <formula>5</formula>
    </cfRule>
    <cfRule type="cellIs" priority="20" operator="equal" aboveAverage="0" equalAverage="0" bottom="0" percent="0" rank="0" text="" dxfId="4">
      <formula>6</formula>
    </cfRule>
  </conditionalFormatting>
  <conditionalFormatting sqref="K19">
    <cfRule type="cellIs" priority="21" operator="equal" aboveAverage="0" equalAverage="0" bottom="0" percent="0" rank="0" text="" dxfId="5">
      <formula>"Ação imediata"</formula>
    </cfRule>
    <cfRule type="cellIs" priority="22" operator="equal" aboveAverage="0" equalAverage="0" bottom="0" percent="0" rank="0" text="" dxfId="5">
      <formula>"Validar cadastro"</formula>
    </cfRule>
    <cfRule type="cellIs" priority="23" operator="equal" aboveAverage="0" equalAverage="0" bottom="0" percent="0" rank="0" text="" dxfId="6">
      <formula>"Em tratamento"</formula>
    </cfRule>
    <cfRule type="cellIs" priority="24" operator="equal" aboveAverage="0" equalAverage="0" bottom="0" percent="0" rank="0" text="" dxfId="6">
      <formula>"Planejar revisão"</formula>
    </cfRule>
  </conditionalFormatting>
  <conditionalFormatting sqref="B20">
    <cfRule type="cellIs" priority="25" operator="lessThanOrEqual" aboveAverage="0" equalAverage="0" bottom="0" percent="0" rank="0" text="" dxfId="2">
      <formula>2</formula>
    </cfRule>
    <cfRule type="cellIs" priority="26" operator="between" aboveAverage="0" equalAverage="0" bottom="0" percent="0" rank="0" text="" dxfId="3">
      <formula>3</formula>
      <formula>5</formula>
    </cfRule>
    <cfRule type="cellIs" priority="27" operator="equal" aboveAverage="0" equalAverage="0" bottom="0" percent="0" rank="0" text="" dxfId="4">
      <formula>6</formula>
    </cfRule>
  </conditionalFormatting>
  <conditionalFormatting sqref="K20">
    <cfRule type="cellIs" priority="28" operator="equal" aboveAverage="0" equalAverage="0" bottom="0" percent="0" rank="0" text="" dxfId="5">
      <formula>"Ação imediata"</formula>
    </cfRule>
    <cfRule type="cellIs" priority="29" operator="equal" aboveAverage="0" equalAverage="0" bottom="0" percent="0" rank="0" text="" dxfId="5">
      <formula>"Validar cadastro"</formula>
    </cfRule>
    <cfRule type="cellIs" priority="30" operator="equal" aboveAverage="0" equalAverage="0" bottom="0" percent="0" rank="0" text="" dxfId="6">
      <formula>"Em tratamento"</formula>
    </cfRule>
    <cfRule type="cellIs" priority="31" operator="equal" aboveAverage="0" equalAverage="0" bottom="0" percent="0" rank="0" text="" dxfId="6">
      <formula>"Planejar revisão"</formula>
    </cfRule>
  </conditionalFormatting>
  <conditionalFormatting sqref="B21">
    <cfRule type="cellIs" priority="32" operator="lessThanOrEqual" aboveAverage="0" equalAverage="0" bottom="0" percent="0" rank="0" text="" dxfId="2">
      <formula>2</formula>
    </cfRule>
    <cfRule type="cellIs" priority="33" operator="between" aboveAverage="0" equalAverage="0" bottom="0" percent="0" rank="0" text="" dxfId="3">
      <formula>3</formula>
      <formula>5</formula>
    </cfRule>
    <cfRule type="cellIs" priority="34" operator="equal" aboveAverage="0" equalAverage="0" bottom="0" percent="0" rank="0" text="" dxfId="4">
      <formula>6</formula>
    </cfRule>
  </conditionalFormatting>
  <conditionalFormatting sqref="K21">
    <cfRule type="cellIs" priority="35" operator="equal" aboveAverage="0" equalAverage="0" bottom="0" percent="0" rank="0" text="" dxfId="5">
      <formula>"Ação imediata"</formula>
    </cfRule>
    <cfRule type="cellIs" priority="36" operator="equal" aboveAverage="0" equalAverage="0" bottom="0" percent="0" rank="0" text="" dxfId="5">
      <formula>"Validar cadastro"</formula>
    </cfRule>
    <cfRule type="cellIs" priority="37" operator="equal" aboveAverage="0" equalAverage="0" bottom="0" percent="0" rank="0" text="" dxfId="6">
      <formula>"Em tratamento"</formula>
    </cfRule>
    <cfRule type="cellIs" priority="38" operator="equal" aboveAverage="0" equalAverage="0" bottom="0" percent="0" rank="0" text="" dxfId="6">
      <formula>"Planejar revisão"</formula>
    </cfRule>
  </conditionalFormatting>
  <conditionalFormatting sqref="B22">
    <cfRule type="cellIs" priority="39" operator="lessThanOrEqual" aboveAverage="0" equalAverage="0" bottom="0" percent="0" rank="0" text="" dxfId="2">
      <formula>2</formula>
    </cfRule>
    <cfRule type="cellIs" priority="40" operator="between" aboveAverage="0" equalAverage="0" bottom="0" percent="0" rank="0" text="" dxfId="3">
      <formula>3</formula>
      <formula>5</formula>
    </cfRule>
    <cfRule type="cellIs" priority="41" operator="equal" aboveAverage="0" equalAverage="0" bottom="0" percent="0" rank="0" text="" dxfId="4">
      <formula>6</formula>
    </cfRule>
  </conditionalFormatting>
  <conditionalFormatting sqref="K22">
    <cfRule type="cellIs" priority="42" operator="equal" aboveAverage="0" equalAverage="0" bottom="0" percent="0" rank="0" text="" dxfId="5">
      <formula>"Ação imediata"</formula>
    </cfRule>
    <cfRule type="cellIs" priority="43" operator="equal" aboveAverage="0" equalAverage="0" bottom="0" percent="0" rank="0" text="" dxfId="5">
      <formula>"Validar cadastro"</formula>
    </cfRule>
    <cfRule type="cellIs" priority="44" operator="equal" aboveAverage="0" equalAverage="0" bottom="0" percent="0" rank="0" text="" dxfId="6">
      <formula>"Em tratamento"</formula>
    </cfRule>
    <cfRule type="cellIs" priority="45" operator="equal" aboveAverage="0" equalAverage="0" bottom="0" percent="0" rank="0" text="" dxfId="6">
      <formula>"Planejar revisão"</formula>
    </cfRule>
  </conditionalFormatting>
  <conditionalFormatting sqref="B23">
    <cfRule type="cellIs" priority="46" operator="lessThanOrEqual" aboveAverage="0" equalAverage="0" bottom="0" percent="0" rank="0" text="" dxfId="2">
      <formula>2</formula>
    </cfRule>
    <cfRule type="cellIs" priority="47" operator="between" aboveAverage="0" equalAverage="0" bottom="0" percent="0" rank="0" text="" dxfId="3">
      <formula>3</formula>
      <formula>5</formula>
    </cfRule>
    <cfRule type="cellIs" priority="48" operator="equal" aboveAverage="0" equalAverage="0" bottom="0" percent="0" rank="0" text="" dxfId="4">
      <formula>6</formula>
    </cfRule>
  </conditionalFormatting>
  <conditionalFormatting sqref="K23">
    <cfRule type="cellIs" priority="49" operator="equal" aboveAverage="0" equalAverage="0" bottom="0" percent="0" rank="0" text="" dxfId="5">
      <formula>"Ação imediata"</formula>
    </cfRule>
    <cfRule type="cellIs" priority="50" operator="equal" aboveAverage="0" equalAverage="0" bottom="0" percent="0" rank="0" text="" dxfId="5">
      <formula>"Validar cadastro"</formula>
    </cfRule>
    <cfRule type="cellIs" priority="51" operator="equal" aboveAverage="0" equalAverage="0" bottom="0" percent="0" rank="0" text="" dxfId="6">
      <formula>"Em tratamento"</formula>
    </cfRule>
    <cfRule type="cellIs" priority="52" operator="equal" aboveAverage="0" equalAverage="0" bottom="0" percent="0" rank="0" text="" dxfId="6">
      <formula>"Planejar revisão"</formula>
    </cfRule>
  </conditionalFormatting>
  <conditionalFormatting sqref="B24">
    <cfRule type="cellIs" priority="53" operator="lessThanOrEqual" aboveAverage="0" equalAverage="0" bottom="0" percent="0" rank="0" text="" dxfId="2">
      <formula>2</formula>
    </cfRule>
    <cfRule type="cellIs" priority="54" operator="between" aboveAverage="0" equalAverage="0" bottom="0" percent="0" rank="0" text="" dxfId="3">
      <formula>3</formula>
      <formula>5</formula>
    </cfRule>
    <cfRule type="cellIs" priority="55" operator="equal" aboveAverage="0" equalAverage="0" bottom="0" percent="0" rank="0" text="" dxfId="4">
      <formula>6</formula>
    </cfRule>
  </conditionalFormatting>
  <conditionalFormatting sqref="K24">
    <cfRule type="cellIs" priority="56" operator="equal" aboveAverage="0" equalAverage="0" bottom="0" percent="0" rank="0" text="" dxfId="5">
      <formula>"Ação imediata"</formula>
    </cfRule>
    <cfRule type="cellIs" priority="57" operator="equal" aboveAverage="0" equalAverage="0" bottom="0" percent="0" rank="0" text="" dxfId="5">
      <formula>"Validar cadastro"</formula>
    </cfRule>
    <cfRule type="cellIs" priority="58" operator="equal" aboveAverage="0" equalAverage="0" bottom="0" percent="0" rank="0" text="" dxfId="6">
      <formula>"Em tratamento"</formula>
    </cfRule>
    <cfRule type="cellIs" priority="59" operator="equal" aboveAverage="0" equalAverage="0" bottom="0" percent="0" rank="0" text="" dxfId="6">
      <formula>"Planejar revisão"</formula>
    </cfRule>
  </conditionalFormatting>
  <conditionalFormatting sqref="L30:M36">
    <cfRule type="cellIs" priority="60" operator="greaterThan" aboveAverage="0" equalAverage="0" bottom="0" percent="0" rank="0" text="" dxfId="7">
      <formula>0</formula>
    </cfRule>
  </conditionalFormatting>
  <conditionalFormatting sqref="N30:O36">
    <cfRule type="cellIs" priority="61" operator="greaterThan" aboveAverage="0" equalAverage="0" bottom="0" percent="0" rank="0" text="" dxfId="8">
      <formula>0</formula>
    </cfRule>
  </conditionalFormatting>
  <conditionalFormatting sqref="P30:P36">
    <cfRule type="colorScale" priority="62">
      <colorScale>
        <cfvo type="num" val="0"/>
        <cfvo type="max" val="0"/>
        <color rgb="FFFFFFFF"/>
        <color rgb="FFC9D6EC"/>
      </colorScale>
    </cfRule>
  </conditionalFormatting>
  <conditionalFormatting sqref="Q30:Q36">
    <cfRule type="cellIs" priority="63" operator="greaterThan" aboveAverage="0" equalAverage="0" bottom="0" percent="0" rank="0" text="" dxfId="9">
      <formula>0</formula>
    </cfRule>
  </conditionalFormatting>
  <conditionalFormatting sqref="X30:X37">
    <cfRule type="cellIs" priority="64" operator="greaterThan" aboveAverage="0" equalAverage="0" bottom="0" percent="0" rank="0" text="" dxfId="7">
      <formula>0</formula>
    </cfRule>
  </conditionalFormatting>
  <conditionalFormatting sqref="W30:W37">
    <cfRule type="cellIs" priority="65" operator="greaterThan" aboveAverage="0" equalAverage="0" bottom="0" percent="0" rank="0" text="" dxfId="8">
      <formula>0</formula>
    </cfRule>
  </conditionalFormatting>
  <conditionalFormatting sqref="B43">
    <cfRule type="expression" priority="66" aboveAverage="0" equalAverage="0" bottom="0" percent="0" rank="0" text="" dxfId="1">
      <formula>LEFT(B43,1)="⚠"</formula>
    </cfRule>
  </conditionalFormatting>
  <conditionalFormatting sqref="E43">
    <cfRule type="expression" priority="67" aboveAverage="0" equalAverage="0" bottom="0" percent="0" rank="0" text="" dxfId="1">
      <formula>LEFT(E43,1)="⚠"</formula>
    </cfRule>
  </conditionalFormatting>
  <conditionalFormatting sqref="I43">
    <cfRule type="expression" priority="68" aboveAverage="0" equalAverage="0" bottom="0" percent="0" rank="0" text="" dxfId="1">
      <formula>LEFT(I43,1)="⚠"</formula>
    </cfRule>
  </conditionalFormatting>
  <conditionalFormatting sqref="L43">
    <cfRule type="expression" priority="69" aboveAverage="0" equalAverage="0" bottom="0" percent="0" rank="0" text="" dxfId="1">
      <formula>LEFT(L43,1)="⚠"</formula>
    </cfRule>
  </conditionalFormatting>
  <conditionalFormatting sqref="P43">
    <cfRule type="expression" priority="70" aboveAverage="0" equalAverage="0" bottom="0" percent="0" rank="0" text="" dxfId="1">
      <formula>LEFT(P43,1)="⚠"</formula>
    </cfRule>
  </conditionalFormatting>
  <conditionalFormatting sqref="S43">
    <cfRule type="expression" priority="71" aboveAverage="0" equalAverage="0" bottom="0" percent="0" rank="0" text="" dxfId="1">
      <formula>LEFT(S43,1)="⚠"</formula>
    </cfRule>
  </conditionalFormatting>
  <conditionalFormatting sqref="W43">
    <cfRule type="expression" priority="72" aboveAverage="0" equalAverage="0" bottom="0" percent="0" rank="0" text="" dxfId="1">
      <formula>LEFT(W43,1)="⚠"</formula>
    </cfRule>
  </conditionalFormatting>
  <dataValidations count="5">
    <dataValidation allowBlank="false" error="Escolha um valor da lista." errorStyle="stop" errorTitle="Filtro" operator="between" prompt="Clique na seta para filtrar" showDropDown="false" showErrorMessage="true" showInputMessage="false" sqref="B7" type="list">
      <formula1>'_AUX DASH'!$A$6:$A$11</formula1>
      <formula2>0</formula2>
    </dataValidation>
    <dataValidation allowBlank="false" error="Escolha um valor da lista." errorStyle="stop" errorTitle="Filtro" operator="between" prompt="Clique na seta para filtrar" showDropDown="false" showErrorMessage="true" showInputMessage="false" sqref="F7" type="list">
      <formula1>'_AUX DASH'!$D$6:$D$13</formula1>
      <formula2>0</formula2>
    </dataValidation>
    <dataValidation allowBlank="false" error="Escolha um valor da lista." errorStyle="stop" errorTitle="Filtro" operator="between" prompt="Clique na seta para filtrar" showDropDown="false" showErrorMessage="true" showInputMessage="false" sqref="J7" type="list">
      <formula1>'_AUX DASH'!$B$6:$B$12</formula1>
      <formula2>0</formula2>
    </dataValidation>
    <dataValidation allowBlank="false" error="Escolha um valor da lista." errorStyle="stop" errorTitle="Filtro" operator="between" prompt="Clique na seta para filtrar" showDropDown="false" showErrorMessage="true" showInputMessage="false" sqref="N7" type="list">
      <formula1>'_AUX DASH'!$E$6:$E$26</formula1>
      <formula2>0</formula2>
    </dataValidation>
    <dataValidation allowBlank="false" error="Escolha um valor da lista." errorStyle="stop" errorTitle="Filtro" operator="between" prompt="Clique na seta para filtrar" showDropDown="false" showErrorMessage="true" showInputMessage="false" sqref="S7" type="list">
      <formula1>'_AUX DASH'!$C$6:$C$12</formula1>
      <formula2>0</formula2>
    </dataValidation>
  </dataValidations>
  <hyperlinks>
    <hyperlink ref="B4" location="'INÍCIO'!A1" display="⌂  Início"/>
    <hyperlink ref="E4" location="'DASHBOARD EXECUTIVO'!A1" display="▦  Dashboard"/>
    <hyperlink ref="H4" location="'PESQUISA'!A1" display="⌕  Pesquisa"/>
    <hyperlink ref="K4" location="'BASE CONSOLIDADA'!A1" display="☰  Base"/>
    <hyperlink ref="N4" location="'QUALIDADE BASE'!A1" display="✓  Qualidade"/>
    <hyperlink ref="Q4" location="'OUTROS CONTROLES'!A1" display="▤  Outros"/>
    <hyperlink ref="B43" location="'NDocs FMG e ANX'!A1" display="#'NDocs FMG e ANX'.A1"/>
    <hyperlink ref="E43" location="'Documentos Transversais'!A1" display="#'Documentos Transversais'.A1"/>
    <hyperlink ref="I43" location="'LPP'!A1" display="#'LPP'.A1"/>
    <hyperlink ref="L43" location="'AST AOL'!A1" display="#'AST AOL'.A1"/>
    <hyperlink ref="P43" location="'AST Geral'!A1" display="#'AST Geral'.A1"/>
    <hyperlink ref="S43" location="'RT''s'!A1" display="#'RT''s'.A1"/>
    <hyperlink ref="W43" location="'MO'!A1" display="#'MO'.A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5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30"/>
    <col collapsed="false" customWidth="true" hidden="false" outlineLevel="0" max="11" min="11" style="0" width="18"/>
    <col collapsed="false" customWidth="true" hidden="false" outlineLevel="0" max="12" min="12" style="0" width="2.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.75" hidden="false" customHeight="true" outlineLevel="0" collapsed="false">
      <c r="A2" s="1"/>
      <c r="B2" s="91" t="s">
        <v>123</v>
      </c>
      <c r="C2" s="91"/>
      <c r="D2" s="91"/>
      <c r="E2" s="91"/>
      <c r="F2" s="91"/>
      <c r="G2" s="91"/>
      <c r="H2" s="91"/>
      <c r="I2" s="3"/>
      <c r="J2" s="3"/>
      <c r="K2" s="3"/>
      <c r="L2" s="1"/>
    </row>
    <row r="3" customFormat="false" ht="19.5" hidden="false" customHeight="true" outlineLevel="0" collapsed="false">
      <c r="A3" s="1"/>
      <c r="B3" s="52" t="s">
        <v>124</v>
      </c>
      <c r="C3" s="52"/>
      <c r="D3" s="52"/>
      <c r="E3" s="52"/>
      <c r="F3" s="52"/>
      <c r="G3" s="52"/>
      <c r="H3" s="52"/>
      <c r="I3" s="3"/>
      <c r="J3" s="3"/>
      <c r="K3" s="3"/>
      <c r="L3" s="1"/>
    </row>
    <row r="4" customFormat="false" ht="27.75" hidden="false" customHeight="true" outlineLevel="0" collapsed="false">
      <c r="A4" s="1"/>
      <c r="B4" s="39" t="s">
        <v>64</v>
      </c>
      <c r="C4" s="39"/>
      <c r="D4" s="39" t="s">
        <v>65</v>
      </c>
      <c r="E4" s="1"/>
      <c r="F4" s="92" t="s">
        <v>66</v>
      </c>
      <c r="G4" s="92"/>
      <c r="H4" s="39" t="s">
        <v>67</v>
      </c>
      <c r="I4" s="39"/>
      <c r="J4" s="39" t="s">
        <v>68</v>
      </c>
      <c r="K4" s="39" t="s">
        <v>69</v>
      </c>
      <c r="L4" s="1"/>
    </row>
    <row r="5" customFormat="false" ht="21.75" hidden="false" customHeight="true" outlineLevel="0" collapsed="false">
      <c r="A5" s="1"/>
      <c r="B5" s="93" t="s">
        <v>125</v>
      </c>
      <c r="C5" s="93"/>
      <c r="D5" s="93"/>
      <c r="E5" s="93"/>
      <c r="F5" s="1"/>
      <c r="G5" s="1"/>
      <c r="H5" s="1"/>
      <c r="I5" s="1"/>
      <c r="J5" s="1"/>
      <c r="K5" s="1"/>
      <c r="L5" s="1"/>
    </row>
    <row r="6" customFormat="false" ht="36" hidden="false" customHeight="true" outlineLevel="0" collapsed="false">
      <c r="A6" s="1"/>
      <c r="B6" s="94" t="s">
        <v>126</v>
      </c>
      <c r="C6" s="95" t="s">
        <v>127</v>
      </c>
      <c r="D6" s="96" t="s">
        <v>128</v>
      </c>
      <c r="E6" s="96"/>
      <c r="F6" s="97" t="str">
        <f aca="false">IF(qBusca="","Digite um termo para pesquisar",COUNT('BASE CONSOLIDADA'!$Z$5:$Z$129)&amp;" resultado(s) · exibindo até 15")</f>
        <v>7 resultado(s) · exibindo até 15</v>
      </c>
      <c r="G6" s="97"/>
      <c r="H6" s="97"/>
      <c r="I6" s="97"/>
      <c r="J6" s="97"/>
      <c r="K6" s="97"/>
      <c r="L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27.75" hidden="false" customHeight="true" outlineLevel="0" collapsed="false">
      <c r="A8" s="1"/>
      <c r="B8" s="98" t="s">
        <v>129</v>
      </c>
      <c r="C8" s="98" t="s">
        <v>130</v>
      </c>
      <c r="D8" s="98" t="s">
        <v>131</v>
      </c>
      <c r="E8" s="98" t="s">
        <v>87</v>
      </c>
      <c r="F8" s="98" t="s">
        <v>132</v>
      </c>
      <c r="G8" s="98" t="s">
        <v>133</v>
      </c>
      <c r="H8" s="98" t="s">
        <v>134</v>
      </c>
      <c r="I8" s="98" t="s">
        <v>88</v>
      </c>
      <c r="J8" s="98" t="s">
        <v>90</v>
      </c>
      <c r="K8" s="98" t="s">
        <v>135</v>
      </c>
      <c r="L8" s="1"/>
    </row>
    <row r="9" customFormat="false" ht="30" hidden="false" customHeight="true" outlineLevel="0" collapsed="false">
      <c r="A9" s="1"/>
      <c r="B9" s="75" t="n">
        <f aca="false">IF(COUNT('BASE CONSOLIDADA'!$Z$5:$Z$129)&lt;1,"",1)</f>
        <v>1</v>
      </c>
      <c r="C9" s="73" t="str">
        <f aca="false">IF($B9="","",INDEX('BASE CONSOLIDADA'!$A$1:$A$129,SMALL('BASE CONSOLIDADA'!$Z$5:$Z$129,$B9)))</f>
        <v>BRK-INS-01-016238-PT</v>
      </c>
      <c r="D9" s="76" t="str">
        <f aca="false">IF($B9="","",INDEX('BASE CONSOLIDADA'!$C$1:$C$129,SMALL('BASE CONSOLIDADA'!$Z$5:$Z$129,$B9)))</f>
        <v>IT 5020-00175</v>
      </c>
      <c r="E9" s="77" t="str">
        <f aca="false">IF($B9="","",INDEX('BASE CONSOLIDADA'!$D$1:$D$129,SMALL('BASE CONSOLIDADA'!$Z$5:$Z$129,$B9)))</f>
        <v>DETERMINAÇÃO DE OXIGÊNIO EM GASES POR TELEDYNE</v>
      </c>
      <c r="F9" s="76" t="str">
        <f aca="false">IF($B9="","",INDEX('BASE CONSOLIDADA'!$B$1:$B$129,SMALL('BASE CONSOLIDADA'!$Z$5:$Z$129,$B9)))</f>
        <v>7.0</v>
      </c>
      <c r="G9" s="76" t="str">
        <f aca="false">IF($B9="","",INDEX('BASE CONSOLIDADA'!$E$1:$E$129,SMALL('BASE CONSOLIDADA'!$Z$5:$Z$129,$B9)))</f>
        <v>Aprovado</v>
      </c>
      <c r="H9" s="99" t="n">
        <f aca="false">IF($B9="","",INDEX('BASE CONSOLIDADA'!$O$1:$O$129,SMALL('BASE CONSOLIDADA'!$Z$5:$Z$129,$B9)))</f>
        <v>48104</v>
      </c>
      <c r="I9" s="76" t="str">
        <f aca="false">IF($B9="","",INDEX('BASE CONSOLIDADA'!$G$1:$G$129,SMALL('BASE CONSOLIDADA'!$Z$5:$Z$129,$B9)))</f>
        <v>Q4/AOL</v>
      </c>
      <c r="J9" s="77" t="str">
        <f aca="false">IF($B9="","",INDEX('BASE CONSOLIDADA'!$P$1:$P$129,SMALL('BASE CONSOLIDADA'!$Z$5:$Z$129,$B9)))</f>
        <v>Ana Claudia Sergio De Oliveira</v>
      </c>
      <c r="K9" s="76" t="str">
        <f aca="false">IF($B9="","",INDEX('BASE CONSOLIDADA'!$R$1:$R$129,SMALL('BASE CONSOLIDADA'!$Z$5:$Z$129,$B9)))</f>
        <v>Regular</v>
      </c>
      <c r="L9" s="1"/>
    </row>
    <row r="10" customFormat="false" ht="30" hidden="false" customHeight="true" outlineLevel="0" collapsed="false">
      <c r="A10" s="1"/>
      <c r="B10" s="75" t="n">
        <f aca="false">IF(COUNT('BASE CONSOLIDADA'!$Z$5:$Z$129)&lt;2,"",2)</f>
        <v>2</v>
      </c>
      <c r="C10" s="73" t="str">
        <f aca="false">IF($B10="","",INDEX('BASE CONSOLIDADA'!$A$1:$A$129,SMALL('BASE CONSOLIDADA'!$Z$5:$Z$129,$B10)))</f>
        <v>BRK-INS-01-016427-PT</v>
      </c>
      <c r="D10" s="76" t="str">
        <f aca="false">IF($B10="","",INDEX('BASE CONSOLIDADA'!$C$1:$C$129,SMALL('BASE CONSOLIDADA'!$Z$5:$Z$129,$B10)))</f>
        <v>IT 5020-00216</v>
      </c>
      <c r="E10" s="77" t="str">
        <f aca="false">IF($B10="","",INDEX('BASE CONSOLIDADA'!$D$1:$D$129,SMALL('BASE CONSOLIDADA'!$Z$5:$Z$129,$B10)))</f>
        <v>DETERMINAÇÃO DA DEMANDA QUÍMICA DE OXIGÊNIO EM ÁGUAS E EFLUENTES</v>
      </c>
      <c r="F10" s="76" t="str">
        <f aca="false">IF($B10="","",INDEX('BASE CONSOLIDADA'!$B$1:$B$129,SMALL('BASE CONSOLIDADA'!$Z$5:$Z$129,$B10)))</f>
        <v>9.0</v>
      </c>
      <c r="G10" s="76" t="str">
        <f aca="false">IF($B10="","",INDEX('BASE CONSOLIDADA'!$E$1:$E$129,SMALL('BASE CONSOLIDADA'!$Z$5:$Z$129,$B10)))</f>
        <v>Aprovado</v>
      </c>
      <c r="H10" s="99" t="n">
        <f aca="false">IF($B10="","",INDEX('BASE CONSOLIDADA'!$O$1:$O$129,SMALL('BASE CONSOLIDADA'!$Z$5:$Z$129,$B10)))</f>
        <v>46846</v>
      </c>
      <c r="I10" s="76" t="str">
        <f aca="false">IF($B10="","",INDEX('BASE CONSOLIDADA'!$G$1:$G$129,SMALL('BASE CONSOLIDADA'!$Z$5:$Z$129,$B10)))</f>
        <v>Q4</v>
      </c>
      <c r="J10" s="77" t="str">
        <f aca="false">IF($B10="","",INDEX('BASE CONSOLIDADA'!$P$1:$P$129,SMALL('BASE CONSOLIDADA'!$Z$5:$Z$129,$B10)))</f>
        <v>Ana Carla Da Cruz Araujo</v>
      </c>
      <c r="K10" s="76" t="str">
        <f aca="false">IF($B10="","",INDEX('BASE CONSOLIDADA'!$R$1:$R$129,SMALL('BASE CONSOLIDADA'!$Z$5:$Z$129,$B10)))</f>
        <v>Regular</v>
      </c>
      <c r="L10" s="1"/>
    </row>
    <row r="11" customFormat="false" ht="30" hidden="false" customHeight="true" outlineLevel="0" collapsed="false">
      <c r="A11" s="1"/>
      <c r="B11" s="75" t="n">
        <f aca="false">IF(COUNT('BASE CONSOLIDADA'!$Z$5:$Z$129)&lt;3,"",3)</f>
        <v>3</v>
      </c>
      <c r="C11" s="73" t="str">
        <f aca="false">IF($B11="","",INDEX('BASE CONSOLIDADA'!$A$1:$A$129,SMALL('BASE CONSOLIDADA'!$Z$5:$Z$129,$B11)))</f>
        <v>BRK-INS-01-016793-PT</v>
      </c>
      <c r="D11" s="76" t="str">
        <f aca="false">IF($B11="","",INDEX('BASE CONSOLIDADA'!$C$1:$C$129,SMALL('BASE CONSOLIDADA'!$Z$5:$Z$129,$B11)))</f>
        <v>IT 6010-00078</v>
      </c>
      <c r="E11" s="77" t="str">
        <f aca="false">IF($B11="","",INDEX('BASE CONSOLIDADA'!$D$1:$D$129,SMALL('BASE CONSOLIDADA'!$Z$5:$Z$129,$B11)))</f>
        <v>DETERMINAÇÃO DE OXIGÊNIO EM GASES POR TELEDYNE MOD 3010</v>
      </c>
      <c r="F11" s="76" t="str">
        <f aca="false">IF($B11="","",INDEX('BASE CONSOLIDADA'!$B$1:$B$129,SMALL('BASE CONSOLIDADA'!$Z$5:$Z$129,$B11)))</f>
        <v>5.0</v>
      </c>
      <c r="G11" s="76" t="str">
        <f aca="false">IF($B11="","",INDEX('BASE CONSOLIDADA'!$E$1:$E$129,SMALL('BASE CONSOLIDADA'!$Z$5:$Z$129,$B11)))</f>
        <v>Aprovado</v>
      </c>
      <c r="H11" s="99" t="n">
        <f aca="false">IF($B11="","",INDEX('BASE CONSOLIDADA'!$O$1:$O$129,SMALL('BASE CONSOLIDADA'!$Z$5:$Z$129,$B11)))</f>
        <v>46689</v>
      </c>
      <c r="I11" s="76" t="str">
        <f aca="false">IF($B11="","",INDEX('BASE CONSOLIDADA'!$G$1:$G$129,SMALL('BASE CONSOLIDADA'!$Z$5:$Z$129,$B11)))</f>
        <v>Q4/AOL</v>
      </c>
      <c r="J11" s="77" t="str">
        <f aca="false">IF($B11="","",INDEX('BASE CONSOLIDADA'!$P$1:$P$129,SMALL('BASE CONSOLIDADA'!$Z$5:$Z$129,$B11)))</f>
        <v>Ana Claudia Sergio De Oliveira</v>
      </c>
      <c r="K11" s="76" t="str">
        <f aca="false">IF($B11="","",INDEX('BASE CONSOLIDADA'!$R$1:$R$129,SMALL('BASE CONSOLIDADA'!$Z$5:$Z$129,$B11)))</f>
        <v>Regular</v>
      </c>
      <c r="L11" s="1"/>
    </row>
    <row r="12" customFormat="false" ht="30" hidden="false" customHeight="true" outlineLevel="0" collapsed="false">
      <c r="A12" s="1"/>
      <c r="B12" s="75" t="n">
        <f aca="false">IF(COUNT('BASE CONSOLIDADA'!$Z$5:$Z$129)&lt;4,"",4)</f>
        <v>4</v>
      </c>
      <c r="C12" s="73" t="str">
        <f aca="false">IF($B12="","",INDEX('BASE CONSOLIDADA'!$A$1:$A$129,SMALL('BASE CONSOLIDADA'!$Z$5:$Z$129,$B12)))</f>
        <v>BRK-INS-01-011812-PT</v>
      </c>
      <c r="D12" s="76" t="str">
        <f aca="false">IF($B12="","",INDEX('BASE CONSOLIDADA'!$C$1:$C$129,SMALL('BASE CONSOLIDADA'!$Z$5:$Z$129,$B12)))</f>
        <v>IT 5020-01340</v>
      </c>
      <c r="E12" s="77" t="str">
        <f aca="false">IF($B12="","",INDEX('BASE CONSOLIDADA'!$D$1:$D$129,SMALL('BASE CONSOLIDADA'!$Z$5:$Z$129,$B12)))</f>
        <v>DETERMINAÇÃO DE OXIGÊNIO PPM MOL EM GASES</v>
      </c>
      <c r="F12" s="76" t="str">
        <f aca="false">IF($B12="","",INDEX('BASE CONSOLIDADA'!$B$1:$B$129,SMALL('BASE CONSOLIDADA'!$Z$5:$Z$129,$B12)))</f>
        <v>6.0</v>
      </c>
      <c r="G12" s="76" t="str">
        <f aca="false">IF($B12="","",INDEX('BASE CONSOLIDADA'!$E$1:$E$129,SMALL('BASE CONSOLIDADA'!$Z$5:$Z$129,$B12)))</f>
        <v>Aprovado</v>
      </c>
      <c r="H12" s="99" t="n">
        <f aca="false">IF($B12="","",INDEX('BASE CONSOLIDADA'!$O$1:$O$129,SMALL('BASE CONSOLIDADA'!$Z$5:$Z$129,$B12)))</f>
        <v>47688</v>
      </c>
      <c r="I12" s="76" t="str">
        <f aca="false">IF($B12="","",INDEX('BASE CONSOLIDADA'!$G$1:$G$129,SMALL('BASE CONSOLIDADA'!$Z$5:$Z$129,$B12)))</f>
        <v>Q4</v>
      </c>
      <c r="J12" s="77" t="str">
        <f aca="false">IF($B12="","",INDEX('BASE CONSOLIDADA'!$P$1:$P$129,SMALL('BASE CONSOLIDADA'!$Z$5:$Z$129,$B12)))</f>
        <v>Camila Moraes De Oliveira</v>
      </c>
      <c r="K12" s="76" t="str">
        <f aca="false">IF($B12="","",INDEX('BASE CONSOLIDADA'!$R$1:$R$129,SMALL('BASE CONSOLIDADA'!$Z$5:$Z$129,$B12)))</f>
        <v>Regular</v>
      </c>
      <c r="L12" s="1"/>
    </row>
    <row r="13" customFormat="false" ht="30" hidden="false" customHeight="true" outlineLevel="0" collapsed="false">
      <c r="A13" s="1"/>
      <c r="B13" s="75" t="n">
        <f aca="false">IF(COUNT('BASE CONSOLIDADA'!$Z$5:$Z$129)&lt;5,"",5)</f>
        <v>5</v>
      </c>
      <c r="C13" s="73" t="str">
        <f aca="false">IF($B13="","",INDEX('BASE CONSOLIDADA'!$A$1:$A$129,SMALL('BASE CONSOLIDADA'!$Z$5:$Z$129,$B13)))</f>
        <v>BRK-INS-01-016681-PT</v>
      </c>
      <c r="D13" s="76" t="str">
        <f aca="false">IF($B13="","",INDEX('BASE CONSOLIDADA'!$C$1:$C$129,SMALL('BASE CONSOLIDADA'!$Z$5:$Z$129,$B13)))</f>
        <v> IT 5030-02940-PT</v>
      </c>
      <c r="E13" s="77" t="str">
        <f aca="false">IF($B13="","",INDEX('BASE CONSOLIDADA'!$D$1:$D$129,SMALL('BASE CONSOLIDADA'!$Z$5:$Z$129,$B13)))</f>
        <v>AJUSTECALIBRAÇÃO DOS ANALISADORES DE OXIGÊNIO DISSOLVIDO</v>
      </c>
      <c r="F13" s="76" t="str">
        <f aca="false">IF($B13="","",INDEX('BASE CONSOLIDADA'!$B$1:$B$129,SMALL('BASE CONSOLIDADA'!$Z$5:$Z$129,$B13)))</f>
        <v>3.0</v>
      </c>
      <c r="G13" s="76" t="str">
        <f aca="false">IF($B13="","",INDEX('BASE CONSOLIDADA'!$E$1:$E$129,SMALL('BASE CONSOLIDADA'!$Z$5:$Z$129,$B13)))</f>
        <v>Aprovado</v>
      </c>
      <c r="H13" s="99" t="n">
        <f aca="false">IF($B13="","",INDEX('BASE CONSOLIDADA'!$O$1:$O$129,SMALL('BASE CONSOLIDADA'!$Z$5:$Z$129,$B13)))</f>
        <v>48000</v>
      </c>
      <c r="I13" s="76" t="str">
        <f aca="false">IF($B13="","",INDEX('BASE CONSOLIDADA'!$G$1:$G$129,SMALL('BASE CONSOLIDADA'!$Z$5:$Z$129,$B13)))</f>
        <v>AOL</v>
      </c>
      <c r="J13" s="77" t="str">
        <f aca="false">IF($B13="","",INDEX('BASE CONSOLIDADA'!$P$1:$P$129,SMALL('BASE CONSOLIDADA'!$Z$5:$Z$129,$B13)))</f>
        <v>Ana Claudia Sergio De Oliveira</v>
      </c>
      <c r="K13" s="76" t="str">
        <f aca="false">IF($B13="","",INDEX('BASE CONSOLIDADA'!$R$1:$R$129,SMALL('BASE CONSOLIDADA'!$Z$5:$Z$129,$B13)))</f>
        <v>Regular</v>
      </c>
      <c r="L13" s="1"/>
    </row>
    <row r="14" customFormat="false" ht="30" hidden="false" customHeight="true" outlineLevel="0" collapsed="false">
      <c r="A14" s="1"/>
      <c r="B14" s="75" t="n">
        <f aca="false">IF(COUNT('BASE CONSOLIDADA'!$Z$5:$Z$129)&lt;6,"",6)</f>
        <v>6</v>
      </c>
      <c r="C14" s="73" t="str">
        <f aca="false">IF($B14="","",INDEX('BASE CONSOLIDADA'!$A$1:$A$129,SMALL('BASE CONSOLIDADA'!$Z$5:$Z$129,$B14)))</f>
        <v>BRK-INS-01-016205-PT</v>
      </c>
      <c r="D14" s="76" t="str">
        <f aca="false">IF($B14="","",INDEX('BASE CONSOLIDADA'!$C$1:$C$129,SMALL('BASE CONSOLIDADA'!$Z$5:$Z$129,$B14)))</f>
        <v> IT 5030-00248</v>
      </c>
      <c r="E14" s="77" t="str">
        <f aca="false">IF($B14="","",INDEX('BASE CONSOLIDADA'!$D$1:$D$129,SMALL('BASE CONSOLIDADA'!$Z$5:$Z$129,$B14)))</f>
        <v>AJUSTE E CALIBRAÇÃO DE ANALISADORES DE OXIGÊNIO DA SERVOMEX - DCX RJ</v>
      </c>
      <c r="F14" s="76" t="str">
        <f aca="false">IF($B14="","",INDEX('BASE CONSOLIDADA'!$B$1:$B$129,SMALL('BASE CONSOLIDADA'!$Z$5:$Z$129,$B14)))</f>
        <v>8.0</v>
      </c>
      <c r="G14" s="76" t="str">
        <f aca="false">IF($B14="","",INDEX('BASE CONSOLIDADA'!$E$1:$E$129,SMALL('BASE CONSOLIDADA'!$Z$5:$Z$129,$B14)))</f>
        <v>Aprovado</v>
      </c>
      <c r="H14" s="99" t="n">
        <f aca="false">IF($B14="","",INDEX('BASE CONSOLIDADA'!$O$1:$O$129,SMALL('BASE CONSOLIDADA'!$Z$5:$Z$129,$B14)))</f>
        <v>48104</v>
      </c>
      <c r="I14" s="76" t="str">
        <f aca="false">IF($B14="","",INDEX('BASE CONSOLIDADA'!$G$1:$G$129,SMALL('BASE CONSOLIDADA'!$Z$5:$Z$129,$B14)))</f>
        <v>AOL</v>
      </c>
      <c r="J14" s="77" t="str">
        <f aca="false">IF($B14="","",INDEX('BASE CONSOLIDADA'!$P$1:$P$129,SMALL('BASE CONSOLIDADA'!$Z$5:$Z$129,$B14)))</f>
        <v>Ana Claudia Sergio De Oliveira</v>
      </c>
      <c r="K14" s="76" t="str">
        <f aca="false">IF($B14="","",INDEX('BASE CONSOLIDADA'!$R$1:$R$129,SMALL('BASE CONSOLIDADA'!$Z$5:$Z$129,$B14)))</f>
        <v>Regular</v>
      </c>
      <c r="L14" s="1"/>
    </row>
    <row r="15" customFormat="false" ht="30" hidden="false" customHeight="true" outlineLevel="0" collapsed="false">
      <c r="A15" s="1"/>
      <c r="B15" s="75" t="n">
        <f aca="false">IF(COUNT('BASE CONSOLIDADA'!$Z$5:$Z$129)&lt;7,"",7)</f>
        <v>7</v>
      </c>
      <c r="C15" s="73" t="str">
        <f aca="false">IF($B15="","",INDEX('BASE CONSOLIDADA'!$A$1:$A$129,SMALL('BASE CONSOLIDADA'!$Z$5:$Z$129,$B15)))</f>
        <v>BRK-INS-01-016748-PT</v>
      </c>
      <c r="D15" s="76" t="str">
        <f aca="false">IF($B15="","",INDEX('BASE CONSOLIDADA'!$C$1:$C$129,SMALL('BASE CONSOLIDADA'!$Z$5:$Z$129,$B15)))</f>
        <v>IT 5030-02962-PT</v>
      </c>
      <c r="E15" s="77" t="str">
        <f aca="false">IF($B15="","",INDEX('BASE CONSOLIDADA'!$D$1:$D$129,SMALL('BASE CONSOLIDADA'!$Z$5:$Z$129,$B15)))</f>
        <v>AJUSTE E CALIBRAÇÃO DOS ANALISADORES PORTÁTEIS DE OXIGÊNIO DISSOLVIDO</v>
      </c>
      <c r="F15" s="76" t="str">
        <f aca="false">IF($B15="","",INDEX('BASE CONSOLIDADA'!$B$1:$B$129,SMALL('BASE CONSOLIDADA'!$Z$5:$Z$129,$B15)))</f>
        <v>3.0</v>
      </c>
      <c r="G15" s="76" t="str">
        <f aca="false">IF($B15="","",INDEX('BASE CONSOLIDADA'!$E$1:$E$129,SMALL('BASE CONSOLIDADA'!$Z$5:$Z$129,$B15)))</f>
        <v>Aprovado</v>
      </c>
      <c r="H15" s="99" t="n">
        <f aca="false">IF($B15="","",INDEX('BASE CONSOLIDADA'!$O$1:$O$129,SMALL('BASE CONSOLIDADA'!$Z$5:$Z$129,$B15)))</f>
        <v>48008</v>
      </c>
      <c r="I15" s="76" t="str">
        <f aca="false">IF($B15="","",INDEX('BASE CONSOLIDADA'!$G$1:$G$129,SMALL('BASE CONSOLIDADA'!$Z$5:$Z$129,$B15)))</f>
        <v>AOL</v>
      </c>
      <c r="J15" s="77" t="str">
        <f aca="false">IF($B15="","",INDEX('BASE CONSOLIDADA'!$P$1:$P$129,SMALL('BASE CONSOLIDADA'!$Z$5:$Z$129,$B15)))</f>
        <v>Ana Claudia Sergio De Oliveira</v>
      </c>
      <c r="K15" s="76" t="str">
        <f aca="false">IF($B15="","",INDEX('BASE CONSOLIDADA'!$R$1:$R$129,SMALL('BASE CONSOLIDADA'!$Z$5:$Z$129,$B15)))</f>
        <v>Regular</v>
      </c>
      <c r="L15" s="1"/>
    </row>
    <row r="16" customFormat="false" ht="30" hidden="false" customHeight="true" outlineLevel="0" collapsed="false">
      <c r="A16" s="1"/>
      <c r="B16" s="75" t="str">
        <f aca="false">IF(COUNT('BASE CONSOLIDADA'!$Z$5:$Z$129)&lt;8,"",8)</f>
        <v/>
      </c>
      <c r="C16" s="73" t="str">
        <f aca="false">IF($B16="","",INDEX('BASE CONSOLIDADA'!$A$1:$A$129,SMALL('BASE CONSOLIDADA'!$Z$5:$Z$129,$B16)))</f>
        <v/>
      </c>
      <c r="D16" s="76" t="str">
        <f aca="false">IF($B16="","",INDEX('BASE CONSOLIDADA'!$C$1:$C$129,SMALL('BASE CONSOLIDADA'!$Z$5:$Z$129,$B16)))</f>
        <v/>
      </c>
      <c r="E16" s="77" t="str">
        <f aca="false">IF($B16="","",INDEX('BASE CONSOLIDADA'!$D$1:$D$129,SMALL('BASE CONSOLIDADA'!$Z$5:$Z$129,$B16)))</f>
        <v/>
      </c>
      <c r="F16" s="76" t="str">
        <f aca="false">IF($B16="","",INDEX('BASE CONSOLIDADA'!$B$1:$B$129,SMALL('BASE CONSOLIDADA'!$Z$5:$Z$129,$B16)))</f>
        <v/>
      </c>
      <c r="G16" s="76" t="str">
        <f aca="false">IF($B16="","",INDEX('BASE CONSOLIDADA'!$E$1:$E$129,SMALL('BASE CONSOLIDADA'!$Z$5:$Z$129,$B16)))</f>
        <v/>
      </c>
      <c r="H16" s="99" t="str">
        <f aca="false">IF($B16="","",INDEX('BASE CONSOLIDADA'!$O$1:$O$129,SMALL('BASE CONSOLIDADA'!$Z$5:$Z$129,$B16)))</f>
        <v/>
      </c>
      <c r="I16" s="76" t="str">
        <f aca="false">IF($B16="","",INDEX('BASE CONSOLIDADA'!$G$1:$G$129,SMALL('BASE CONSOLIDADA'!$Z$5:$Z$129,$B16)))</f>
        <v/>
      </c>
      <c r="J16" s="77" t="str">
        <f aca="false">IF($B16="","",INDEX('BASE CONSOLIDADA'!$P$1:$P$129,SMALL('BASE CONSOLIDADA'!$Z$5:$Z$129,$B16)))</f>
        <v/>
      </c>
      <c r="K16" s="76" t="str">
        <f aca="false">IF($B16="","",INDEX('BASE CONSOLIDADA'!$R$1:$R$129,SMALL('BASE CONSOLIDADA'!$Z$5:$Z$129,$B16)))</f>
        <v/>
      </c>
      <c r="L16" s="1"/>
    </row>
    <row r="17" customFormat="false" ht="30" hidden="false" customHeight="true" outlineLevel="0" collapsed="false">
      <c r="A17" s="1"/>
      <c r="B17" s="75" t="str">
        <f aca="false">IF(COUNT('BASE CONSOLIDADA'!$Z$5:$Z$129)&lt;9,"",9)</f>
        <v/>
      </c>
      <c r="C17" s="73" t="str">
        <f aca="false">IF($B17="","",INDEX('BASE CONSOLIDADA'!$A$1:$A$129,SMALL('BASE CONSOLIDADA'!$Z$5:$Z$129,$B17)))</f>
        <v/>
      </c>
      <c r="D17" s="76" t="str">
        <f aca="false">IF($B17="","",INDEX('BASE CONSOLIDADA'!$C$1:$C$129,SMALL('BASE CONSOLIDADA'!$Z$5:$Z$129,$B17)))</f>
        <v/>
      </c>
      <c r="E17" s="77" t="str">
        <f aca="false">IF($B17="","",INDEX('BASE CONSOLIDADA'!$D$1:$D$129,SMALL('BASE CONSOLIDADA'!$Z$5:$Z$129,$B17)))</f>
        <v/>
      </c>
      <c r="F17" s="76" t="str">
        <f aca="false">IF($B17="","",INDEX('BASE CONSOLIDADA'!$B$1:$B$129,SMALL('BASE CONSOLIDADA'!$Z$5:$Z$129,$B17)))</f>
        <v/>
      </c>
      <c r="G17" s="76" t="str">
        <f aca="false">IF($B17="","",INDEX('BASE CONSOLIDADA'!$E$1:$E$129,SMALL('BASE CONSOLIDADA'!$Z$5:$Z$129,$B17)))</f>
        <v/>
      </c>
      <c r="H17" s="99" t="str">
        <f aca="false">IF($B17="","",INDEX('BASE CONSOLIDADA'!$O$1:$O$129,SMALL('BASE CONSOLIDADA'!$Z$5:$Z$129,$B17)))</f>
        <v/>
      </c>
      <c r="I17" s="76" t="str">
        <f aca="false">IF($B17="","",INDEX('BASE CONSOLIDADA'!$G$1:$G$129,SMALL('BASE CONSOLIDADA'!$Z$5:$Z$129,$B17)))</f>
        <v/>
      </c>
      <c r="J17" s="77" t="str">
        <f aca="false">IF($B17="","",INDEX('BASE CONSOLIDADA'!$P$1:$P$129,SMALL('BASE CONSOLIDADA'!$Z$5:$Z$129,$B17)))</f>
        <v/>
      </c>
      <c r="K17" s="76" t="str">
        <f aca="false">IF($B17="","",INDEX('BASE CONSOLIDADA'!$R$1:$R$129,SMALL('BASE CONSOLIDADA'!$Z$5:$Z$129,$B17)))</f>
        <v/>
      </c>
      <c r="L17" s="1"/>
    </row>
    <row r="18" customFormat="false" ht="30" hidden="false" customHeight="true" outlineLevel="0" collapsed="false">
      <c r="A18" s="1"/>
      <c r="B18" s="75" t="str">
        <f aca="false">IF(COUNT('BASE CONSOLIDADA'!$Z$5:$Z$129)&lt;10,"",10)</f>
        <v/>
      </c>
      <c r="C18" s="73" t="str">
        <f aca="false">IF($B18="","",INDEX('BASE CONSOLIDADA'!$A$1:$A$129,SMALL('BASE CONSOLIDADA'!$Z$5:$Z$129,$B18)))</f>
        <v/>
      </c>
      <c r="D18" s="76" t="str">
        <f aca="false">IF($B18="","",INDEX('BASE CONSOLIDADA'!$C$1:$C$129,SMALL('BASE CONSOLIDADA'!$Z$5:$Z$129,$B18)))</f>
        <v/>
      </c>
      <c r="E18" s="77" t="str">
        <f aca="false">IF($B18="","",INDEX('BASE CONSOLIDADA'!$D$1:$D$129,SMALL('BASE CONSOLIDADA'!$Z$5:$Z$129,$B18)))</f>
        <v/>
      </c>
      <c r="F18" s="76" t="str">
        <f aca="false">IF($B18="","",INDEX('BASE CONSOLIDADA'!$B$1:$B$129,SMALL('BASE CONSOLIDADA'!$Z$5:$Z$129,$B18)))</f>
        <v/>
      </c>
      <c r="G18" s="76" t="str">
        <f aca="false">IF($B18="","",INDEX('BASE CONSOLIDADA'!$E$1:$E$129,SMALL('BASE CONSOLIDADA'!$Z$5:$Z$129,$B18)))</f>
        <v/>
      </c>
      <c r="H18" s="99" t="str">
        <f aca="false">IF($B18="","",INDEX('BASE CONSOLIDADA'!$O$1:$O$129,SMALL('BASE CONSOLIDADA'!$Z$5:$Z$129,$B18)))</f>
        <v/>
      </c>
      <c r="I18" s="76" t="str">
        <f aca="false">IF($B18="","",INDEX('BASE CONSOLIDADA'!$G$1:$G$129,SMALL('BASE CONSOLIDADA'!$Z$5:$Z$129,$B18)))</f>
        <v/>
      </c>
      <c r="J18" s="77" t="str">
        <f aca="false">IF($B18="","",INDEX('BASE CONSOLIDADA'!$P$1:$P$129,SMALL('BASE CONSOLIDADA'!$Z$5:$Z$129,$B18)))</f>
        <v/>
      </c>
      <c r="K18" s="76" t="str">
        <f aca="false">IF($B18="","",INDEX('BASE CONSOLIDADA'!$R$1:$R$129,SMALL('BASE CONSOLIDADA'!$Z$5:$Z$129,$B18)))</f>
        <v/>
      </c>
      <c r="L18" s="1"/>
    </row>
    <row r="19" customFormat="false" ht="30" hidden="false" customHeight="true" outlineLevel="0" collapsed="false">
      <c r="A19" s="1"/>
      <c r="B19" s="75" t="str">
        <f aca="false">IF(COUNT('BASE CONSOLIDADA'!$Z$5:$Z$129)&lt;11,"",11)</f>
        <v/>
      </c>
      <c r="C19" s="73" t="str">
        <f aca="false">IF($B19="","",INDEX('BASE CONSOLIDADA'!$A$1:$A$129,SMALL('BASE CONSOLIDADA'!$Z$5:$Z$129,$B19)))</f>
        <v/>
      </c>
      <c r="D19" s="76" t="str">
        <f aca="false">IF($B19="","",INDEX('BASE CONSOLIDADA'!$C$1:$C$129,SMALL('BASE CONSOLIDADA'!$Z$5:$Z$129,$B19)))</f>
        <v/>
      </c>
      <c r="E19" s="77" t="str">
        <f aca="false">IF($B19="","",INDEX('BASE CONSOLIDADA'!$D$1:$D$129,SMALL('BASE CONSOLIDADA'!$Z$5:$Z$129,$B19)))</f>
        <v/>
      </c>
      <c r="F19" s="76" t="str">
        <f aca="false">IF($B19="","",INDEX('BASE CONSOLIDADA'!$B$1:$B$129,SMALL('BASE CONSOLIDADA'!$Z$5:$Z$129,$B19)))</f>
        <v/>
      </c>
      <c r="G19" s="76" t="str">
        <f aca="false">IF($B19="","",INDEX('BASE CONSOLIDADA'!$E$1:$E$129,SMALL('BASE CONSOLIDADA'!$Z$5:$Z$129,$B19)))</f>
        <v/>
      </c>
      <c r="H19" s="99" t="str">
        <f aca="false">IF($B19="","",INDEX('BASE CONSOLIDADA'!$O$1:$O$129,SMALL('BASE CONSOLIDADA'!$Z$5:$Z$129,$B19)))</f>
        <v/>
      </c>
      <c r="I19" s="76" t="str">
        <f aca="false">IF($B19="","",INDEX('BASE CONSOLIDADA'!$G$1:$G$129,SMALL('BASE CONSOLIDADA'!$Z$5:$Z$129,$B19)))</f>
        <v/>
      </c>
      <c r="J19" s="77" t="str">
        <f aca="false">IF($B19="","",INDEX('BASE CONSOLIDADA'!$P$1:$P$129,SMALL('BASE CONSOLIDADA'!$Z$5:$Z$129,$B19)))</f>
        <v/>
      </c>
      <c r="K19" s="76" t="str">
        <f aca="false">IF($B19="","",INDEX('BASE CONSOLIDADA'!$R$1:$R$129,SMALL('BASE CONSOLIDADA'!$Z$5:$Z$129,$B19)))</f>
        <v/>
      </c>
      <c r="L19" s="1"/>
    </row>
    <row r="20" customFormat="false" ht="30" hidden="false" customHeight="true" outlineLevel="0" collapsed="false">
      <c r="A20" s="1"/>
      <c r="B20" s="75" t="str">
        <f aca="false">IF(COUNT('BASE CONSOLIDADA'!$Z$5:$Z$129)&lt;12,"",12)</f>
        <v/>
      </c>
      <c r="C20" s="73" t="str">
        <f aca="false">IF($B20="","",INDEX('BASE CONSOLIDADA'!$A$1:$A$129,SMALL('BASE CONSOLIDADA'!$Z$5:$Z$129,$B20)))</f>
        <v/>
      </c>
      <c r="D20" s="76" t="str">
        <f aca="false">IF($B20="","",INDEX('BASE CONSOLIDADA'!$C$1:$C$129,SMALL('BASE CONSOLIDADA'!$Z$5:$Z$129,$B20)))</f>
        <v/>
      </c>
      <c r="E20" s="77" t="str">
        <f aca="false">IF($B20="","",INDEX('BASE CONSOLIDADA'!$D$1:$D$129,SMALL('BASE CONSOLIDADA'!$Z$5:$Z$129,$B20)))</f>
        <v/>
      </c>
      <c r="F20" s="76" t="str">
        <f aca="false">IF($B20="","",INDEX('BASE CONSOLIDADA'!$B$1:$B$129,SMALL('BASE CONSOLIDADA'!$Z$5:$Z$129,$B20)))</f>
        <v/>
      </c>
      <c r="G20" s="76" t="str">
        <f aca="false">IF($B20="","",INDEX('BASE CONSOLIDADA'!$E$1:$E$129,SMALL('BASE CONSOLIDADA'!$Z$5:$Z$129,$B20)))</f>
        <v/>
      </c>
      <c r="H20" s="99" t="str">
        <f aca="false">IF($B20="","",INDEX('BASE CONSOLIDADA'!$O$1:$O$129,SMALL('BASE CONSOLIDADA'!$Z$5:$Z$129,$B20)))</f>
        <v/>
      </c>
      <c r="I20" s="76" t="str">
        <f aca="false">IF($B20="","",INDEX('BASE CONSOLIDADA'!$G$1:$G$129,SMALL('BASE CONSOLIDADA'!$Z$5:$Z$129,$B20)))</f>
        <v/>
      </c>
      <c r="J20" s="77" t="str">
        <f aca="false">IF($B20="","",INDEX('BASE CONSOLIDADA'!$P$1:$P$129,SMALL('BASE CONSOLIDADA'!$Z$5:$Z$129,$B20)))</f>
        <v/>
      </c>
      <c r="K20" s="76" t="str">
        <f aca="false">IF($B20="","",INDEX('BASE CONSOLIDADA'!$R$1:$R$129,SMALL('BASE CONSOLIDADA'!$Z$5:$Z$129,$B20)))</f>
        <v/>
      </c>
      <c r="L20" s="1"/>
    </row>
    <row r="21" customFormat="false" ht="30" hidden="false" customHeight="true" outlineLevel="0" collapsed="false">
      <c r="A21" s="1"/>
      <c r="B21" s="75" t="str">
        <f aca="false">IF(COUNT('BASE CONSOLIDADA'!$Z$5:$Z$129)&lt;13,"",13)</f>
        <v/>
      </c>
      <c r="C21" s="73" t="str">
        <f aca="false">IF($B21="","",INDEX('BASE CONSOLIDADA'!$A$1:$A$129,SMALL('BASE CONSOLIDADA'!$Z$5:$Z$129,$B21)))</f>
        <v/>
      </c>
      <c r="D21" s="76" t="str">
        <f aca="false">IF($B21="","",INDEX('BASE CONSOLIDADA'!$C$1:$C$129,SMALL('BASE CONSOLIDADA'!$Z$5:$Z$129,$B21)))</f>
        <v/>
      </c>
      <c r="E21" s="77" t="str">
        <f aca="false">IF($B21="","",INDEX('BASE CONSOLIDADA'!$D$1:$D$129,SMALL('BASE CONSOLIDADA'!$Z$5:$Z$129,$B21)))</f>
        <v/>
      </c>
      <c r="F21" s="76" t="str">
        <f aca="false">IF($B21="","",INDEX('BASE CONSOLIDADA'!$B$1:$B$129,SMALL('BASE CONSOLIDADA'!$Z$5:$Z$129,$B21)))</f>
        <v/>
      </c>
      <c r="G21" s="76" t="str">
        <f aca="false">IF($B21="","",INDEX('BASE CONSOLIDADA'!$E$1:$E$129,SMALL('BASE CONSOLIDADA'!$Z$5:$Z$129,$B21)))</f>
        <v/>
      </c>
      <c r="H21" s="99" t="str">
        <f aca="false">IF($B21="","",INDEX('BASE CONSOLIDADA'!$O$1:$O$129,SMALL('BASE CONSOLIDADA'!$Z$5:$Z$129,$B21)))</f>
        <v/>
      </c>
      <c r="I21" s="76" t="str">
        <f aca="false">IF($B21="","",INDEX('BASE CONSOLIDADA'!$G$1:$G$129,SMALL('BASE CONSOLIDADA'!$Z$5:$Z$129,$B21)))</f>
        <v/>
      </c>
      <c r="J21" s="77" t="str">
        <f aca="false">IF($B21="","",INDEX('BASE CONSOLIDADA'!$P$1:$P$129,SMALL('BASE CONSOLIDADA'!$Z$5:$Z$129,$B21)))</f>
        <v/>
      </c>
      <c r="K21" s="76" t="str">
        <f aca="false">IF($B21="","",INDEX('BASE CONSOLIDADA'!$R$1:$R$129,SMALL('BASE CONSOLIDADA'!$Z$5:$Z$129,$B21)))</f>
        <v/>
      </c>
      <c r="L21" s="1"/>
    </row>
    <row r="22" customFormat="false" ht="30" hidden="false" customHeight="true" outlineLevel="0" collapsed="false">
      <c r="A22" s="1"/>
      <c r="B22" s="75" t="str">
        <f aca="false">IF(COUNT('BASE CONSOLIDADA'!$Z$5:$Z$129)&lt;14,"",14)</f>
        <v/>
      </c>
      <c r="C22" s="73" t="str">
        <f aca="false">IF($B22="","",INDEX('BASE CONSOLIDADA'!$A$1:$A$129,SMALL('BASE CONSOLIDADA'!$Z$5:$Z$129,$B22)))</f>
        <v/>
      </c>
      <c r="D22" s="76" t="str">
        <f aca="false">IF($B22="","",INDEX('BASE CONSOLIDADA'!$C$1:$C$129,SMALL('BASE CONSOLIDADA'!$Z$5:$Z$129,$B22)))</f>
        <v/>
      </c>
      <c r="E22" s="77" t="str">
        <f aca="false">IF($B22="","",INDEX('BASE CONSOLIDADA'!$D$1:$D$129,SMALL('BASE CONSOLIDADA'!$Z$5:$Z$129,$B22)))</f>
        <v/>
      </c>
      <c r="F22" s="76" t="str">
        <f aca="false">IF($B22="","",INDEX('BASE CONSOLIDADA'!$B$1:$B$129,SMALL('BASE CONSOLIDADA'!$Z$5:$Z$129,$B22)))</f>
        <v/>
      </c>
      <c r="G22" s="76" t="str">
        <f aca="false">IF($B22="","",INDEX('BASE CONSOLIDADA'!$E$1:$E$129,SMALL('BASE CONSOLIDADA'!$Z$5:$Z$129,$B22)))</f>
        <v/>
      </c>
      <c r="H22" s="99" t="str">
        <f aca="false">IF($B22="","",INDEX('BASE CONSOLIDADA'!$O$1:$O$129,SMALL('BASE CONSOLIDADA'!$Z$5:$Z$129,$B22)))</f>
        <v/>
      </c>
      <c r="I22" s="76" t="str">
        <f aca="false">IF($B22="","",INDEX('BASE CONSOLIDADA'!$G$1:$G$129,SMALL('BASE CONSOLIDADA'!$Z$5:$Z$129,$B22)))</f>
        <v/>
      </c>
      <c r="J22" s="77" t="str">
        <f aca="false">IF($B22="","",INDEX('BASE CONSOLIDADA'!$P$1:$P$129,SMALL('BASE CONSOLIDADA'!$Z$5:$Z$129,$B22)))</f>
        <v/>
      </c>
      <c r="K22" s="76" t="str">
        <f aca="false">IF($B22="","",INDEX('BASE CONSOLIDADA'!$R$1:$R$129,SMALL('BASE CONSOLIDADA'!$Z$5:$Z$129,$B22)))</f>
        <v/>
      </c>
      <c r="L22" s="1"/>
    </row>
    <row r="23" customFormat="false" ht="30" hidden="false" customHeight="true" outlineLevel="0" collapsed="false">
      <c r="A23" s="1"/>
      <c r="B23" s="75" t="str">
        <f aca="false">IF(COUNT('BASE CONSOLIDADA'!$Z$5:$Z$129)&lt;15,"",15)</f>
        <v/>
      </c>
      <c r="C23" s="73" t="str">
        <f aca="false">IF($B23="","",INDEX('BASE CONSOLIDADA'!$A$1:$A$129,SMALL('BASE CONSOLIDADA'!$Z$5:$Z$129,$B23)))</f>
        <v/>
      </c>
      <c r="D23" s="76" t="str">
        <f aca="false">IF($B23="","",INDEX('BASE CONSOLIDADA'!$C$1:$C$129,SMALL('BASE CONSOLIDADA'!$Z$5:$Z$129,$B23)))</f>
        <v/>
      </c>
      <c r="E23" s="77" t="str">
        <f aca="false">IF($B23="","",INDEX('BASE CONSOLIDADA'!$D$1:$D$129,SMALL('BASE CONSOLIDADA'!$Z$5:$Z$129,$B23)))</f>
        <v/>
      </c>
      <c r="F23" s="76" t="str">
        <f aca="false">IF($B23="","",INDEX('BASE CONSOLIDADA'!$B$1:$B$129,SMALL('BASE CONSOLIDADA'!$Z$5:$Z$129,$B23)))</f>
        <v/>
      </c>
      <c r="G23" s="76" t="str">
        <f aca="false">IF($B23="","",INDEX('BASE CONSOLIDADA'!$E$1:$E$129,SMALL('BASE CONSOLIDADA'!$Z$5:$Z$129,$B23)))</f>
        <v/>
      </c>
      <c r="H23" s="99" t="str">
        <f aca="false">IF($B23="","",INDEX('BASE CONSOLIDADA'!$O$1:$O$129,SMALL('BASE CONSOLIDADA'!$Z$5:$Z$129,$B23)))</f>
        <v/>
      </c>
      <c r="I23" s="76" t="str">
        <f aca="false">IF($B23="","",INDEX('BASE CONSOLIDADA'!$G$1:$G$129,SMALL('BASE CONSOLIDADA'!$Z$5:$Z$129,$B23)))</f>
        <v/>
      </c>
      <c r="J23" s="77" t="str">
        <f aca="false">IF($B23="","",INDEX('BASE CONSOLIDADA'!$P$1:$P$129,SMALL('BASE CONSOLIDADA'!$Z$5:$Z$129,$B23)))</f>
        <v/>
      </c>
      <c r="K23" s="76" t="str">
        <f aca="false">IF($B23="","",INDEX('BASE CONSOLIDADA'!$R$1:$R$129,SMALL('BASE CONSOLIDADA'!$Z$5:$Z$129,$B23)))</f>
        <v/>
      </c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48" t="s">
        <v>136</v>
      </c>
      <c r="C25" s="48"/>
      <c r="D25" s="48"/>
      <c r="E25" s="48"/>
      <c r="F25" s="48"/>
      <c r="G25" s="48"/>
      <c r="H25" s="48"/>
      <c r="I25" s="48"/>
      <c r="J25" s="48"/>
      <c r="K25" s="48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</sheetData>
  <mergeCells count="9">
    <mergeCell ref="B2:H2"/>
    <mergeCell ref="B3:H3"/>
    <mergeCell ref="B4:C4"/>
    <mergeCell ref="F4:G4"/>
    <mergeCell ref="H4:I4"/>
    <mergeCell ref="B5:E5"/>
    <mergeCell ref="D6:E6"/>
    <mergeCell ref="F6:K6"/>
    <mergeCell ref="B25:K25"/>
  </mergeCells>
  <conditionalFormatting sqref="K9:K23">
    <cfRule type="cellIs" priority="2" operator="equal" aboveAverage="0" equalAverage="0" bottom="0" percent="0" rank="0" text="" dxfId="5">
      <formula>"Ação imediata"</formula>
    </cfRule>
    <cfRule type="cellIs" priority="3" operator="equal" aboveAverage="0" equalAverage="0" bottom="0" percent="0" rank="0" text="" dxfId="5">
      <formula>"Validar cadastro"</formula>
    </cfRule>
    <cfRule type="cellIs" priority="4" operator="equal" aboveAverage="0" equalAverage="0" bottom="0" percent="0" rank="0" text="" dxfId="6">
      <formula>"Em tratamento"</formula>
    </cfRule>
    <cfRule type="cellIs" priority="5" operator="equal" aboveAverage="0" equalAverage="0" bottom="0" percent="0" rank="0" text="" dxfId="6">
      <formula>"Planejar revisão"</formula>
    </cfRule>
    <cfRule type="cellIs" priority="6" operator="equal" aboveAverage="0" equalAverage="0" bottom="0" percent="0" rank="0" text="" dxfId="10">
      <formula>"Inativo"</formula>
    </cfRule>
    <cfRule type="cellIs" priority="7" operator="equal" aboveAverage="0" equalAverage="0" bottom="0" percent="0" rank="0" text="" dxfId="11">
      <formula>"Regular"</formula>
    </cfRule>
  </conditionalFormatting>
  <hyperlinks>
    <hyperlink ref="B4" location="'INÍCIO'!A1" display="⌂  Início"/>
    <hyperlink ref="D4" location="'DASHBOARD EXECUTIVO'!A1" display="▦  Dashboard"/>
    <hyperlink ref="F4" location="'PESQUISA'!A1" display="⌕  Pesquisa"/>
    <hyperlink ref="H4" location="'BASE CONSOLIDADA'!A1" display="☰  Base"/>
    <hyperlink ref="J4" location="'QUALIDADE BASE'!A1" display="✓  Qualidade"/>
    <hyperlink ref="K4" location="'OUTROS CONTROLES'!A1" display="▤  Outr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Z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3"/>
    <col collapsed="false" customWidth="true" hidden="false" outlineLevel="0" max="2" min="2" style="0" width="7"/>
    <col collapsed="false" customWidth="true" hidden="false" outlineLevel="0" max="3" min="3" style="0" width="17"/>
    <col collapsed="false" customWidth="true" hidden="false" outlineLevel="0" max="4" min="4" style="0" width="62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32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32"/>
    <col collapsed="false" customWidth="true" hidden="false" outlineLevel="0" max="17" min="17" style="0" width="9"/>
    <col collapsed="false" customWidth="true" hidden="false" outlineLevel="0" max="19" min="18" style="0" width="18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32"/>
    <col collapsed="false" customWidth="true" hidden="true" outlineLevel="1" max="26" min="23" style="0" width="9"/>
  </cols>
  <sheetData>
    <row r="1" customFormat="false" ht="37.5" hidden="false" customHeight="true" outlineLevel="0" collapsed="false">
      <c r="A1" s="100" t="s">
        <v>137</v>
      </c>
      <c r="B1" s="100"/>
      <c r="C1" s="100"/>
      <c r="D1" s="100"/>
      <c r="E1" s="55" t="s">
        <v>64</v>
      </c>
      <c r="F1" s="55" t="s">
        <v>65</v>
      </c>
      <c r="G1" s="55"/>
      <c r="H1" s="55" t="s">
        <v>66</v>
      </c>
      <c r="I1" s="55" t="s">
        <v>68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21.75" hidden="false" customHeight="true" outlineLevel="0" collapsed="false">
      <c r="A2" s="52" t="str">
        <f aca="false">"LCQ RJ  ·  "&amp;COUNTA('BASE CONSOLIDADA'!$A$5:$A$129)&amp;" códigos únicos consolidados de NDocs Q4, PE_PP, AOL e COMUNS"</f>
        <v>LCQ RJ  ·  125 códigos únicos consolidados de NDocs Q4, PE_PP, AOL e COMUNS</v>
      </c>
      <c r="B2" s="52"/>
      <c r="C2" s="52"/>
      <c r="D2" s="5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21.75" hidden="false" customHeight="true" outlineLevel="0" collapsed="false">
      <c r="A3" s="101" t="s">
        <v>138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2" t="s">
        <v>139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 customFormat="false" ht="36" hidden="false" customHeight="true" outlineLevel="0" collapsed="false">
      <c r="A4" s="103" t="s">
        <v>130</v>
      </c>
      <c r="B4" s="104" t="s">
        <v>132</v>
      </c>
      <c r="C4" s="103" t="s">
        <v>140</v>
      </c>
      <c r="D4" s="103" t="s">
        <v>87</v>
      </c>
      <c r="E4" s="103" t="s">
        <v>133</v>
      </c>
      <c r="F4" s="104" t="s">
        <v>134</v>
      </c>
      <c r="G4" s="104" t="s">
        <v>141</v>
      </c>
      <c r="H4" s="103" t="s">
        <v>142</v>
      </c>
      <c r="I4" s="103" t="s">
        <v>90</v>
      </c>
      <c r="J4" s="103" t="s">
        <v>143</v>
      </c>
      <c r="K4" s="103" t="s">
        <v>144</v>
      </c>
      <c r="L4" s="103" t="s">
        <v>145</v>
      </c>
      <c r="M4" s="104" t="s">
        <v>146</v>
      </c>
      <c r="N4" s="105" t="s">
        <v>147</v>
      </c>
      <c r="O4" s="106" t="s">
        <v>148</v>
      </c>
      <c r="P4" s="105" t="s">
        <v>149</v>
      </c>
      <c r="Q4" s="106" t="s">
        <v>150</v>
      </c>
      <c r="R4" s="105" t="s">
        <v>135</v>
      </c>
      <c r="S4" s="105" t="s">
        <v>151</v>
      </c>
      <c r="T4" s="106" t="s">
        <v>152</v>
      </c>
      <c r="U4" s="106" t="s">
        <v>153</v>
      </c>
      <c r="V4" s="105" t="s">
        <v>91</v>
      </c>
      <c r="W4" s="106" t="s">
        <v>154</v>
      </c>
      <c r="X4" s="105" t="s">
        <v>155</v>
      </c>
      <c r="Y4" s="105" t="s">
        <v>156</v>
      </c>
      <c r="Z4" s="105" t="s">
        <v>157</v>
      </c>
    </row>
    <row r="5" customFormat="false" ht="19.5" hidden="false" customHeight="true" outlineLevel="0" collapsed="false">
      <c r="A5" s="107" t="s">
        <v>158</v>
      </c>
      <c r="B5" s="108" t="s">
        <v>159</v>
      </c>
      <c r="C5" s="109" t="s">
        <v>160</v>
      </c>
      <c r="D5" s="109" t="s">
        <v>161</v>
      </c>
      <c r="E5" s="109" t="s">
        <v>162</v>
      </c>
      <c r="F5" s="110" t="n">
        <v>46689</v>
      </c>
      <c r="G5" s="108" t="s">
        <v>36</v>
      </c>
      <c r="H5" s="109"/>
      <c r="I5" s="109" t="s">
        <v>163</v>
      </c>
      <c r="J5" s="109" t="s">
        <v>164</v>
      </c>
      <c r="K5" s="109"/>
      <c r="L5" s="109" t="s">
        <v>165</v>
      </c>
      <c r="M5" s="108" t="n">
        <v>1</v>
      </c>
      <c r="N5" s="111" t="str">
        <f aca="false">IF(TRIM(SUBSTITUTE(E5,CHAR(160)," "))="Avaiação de uso","Avaliação de uso",IF(TRIM(SUBSTITUTE(E5,CHAR(160)," "))="Cancelada","Cancelado",TRIM(SUBSTITUTE(E5,CHAR(160)," "))))</f>
        <v>Aprovado</v>
      </c>
      <c r="O5" s="112" t="n">
        <f aca="false">IF(ISNUMBER(F5),F5,IFERROR(DATE(RIGHT(RIGHT(TRIM(F5),10),4),MID(RIGHT(TRIM(F5),10),4,2),LEFT(RIGHT(TRIM(F5),10),2)),""))</f>
        <v>46689</v>
      </c>
      <c r="P5" s="111" t="str">
        <f aca="false">PROPER(TRIM(SUBSTITUTE(I5,CHAR(160)," ")))</f>
        <v>Ana Carla Da Cruz Araujo</v>
      </c>
      <c r="Q5" s="113" t="n">
        <f aca="false">IF(O5="","",O5-DataRef)</f>
        <v>388</v>
      </c>
      <c r="R5" s="111" t="str">
        <f aca="false">IF(OR(N5="Cancelado",N5="Fora de Uso"),"Inativo",IF(OR(N5="Revisão",N5="Em Elaboração"),"Em tratamento",IF(OR(N5&lt;&gt;"Aprovado",O5=""),"Validar cadastro",IF(O5&lt;DataRef,"Ação imediata",IF(O5&lt;=EDATE(DataRef,12),"Planejar revisão","Regular")))))</f>
        <v>Regular</v>
      </c>
      <c r="S5" s="111" t="str">
        <f aca="false">IF(R5="Inativo","Inativo",IF(O5="","Sem validade",IF(O5&lt;DataRef,"Vencida",IF(O5&lt;=DataRef+90,"Até 90 dias",IF(O5&lt;=EDATE(DataRef,12),"91 dias a 12 meses","Após 12 meses")))))</f>
        <v>Após 12 meses</v>
      </c>
      <c r="T5" s="114" t="n">
        <f aca="false">IF(O5="","",DATE(YEAR(O5),MONTH(O5),1))</f>
        <v>46661</v>
      </c>
      <c r="U5" s="115" t="n">
        <f aca="false">IF(R5="Ação imediata",1,IF(N5="Não encontrado",2,IF(N5="Revisão",3,IF(N5="Em Elaboração",4,IF(S5="Até 90 dias",5,IF(R5="Validar cadastro",6,0))))))</f>
        <v>0</v>
      </c>
      <c r="V5" s="111" t="str">
        <f aca="false">CHOOSE(U5+1,IF(R5="Planejar revisão","Incluir no plano anual de revisão",IF(R5="Inativo","Sem ação","Monitorar")),"Revisar ou prorrogar validade","Confirmar status no NDocs","Acompanhar revisão","Concluir elaboração","Iniciar revisão (≤ 90 dias)","Validar aplicabilidade")</f>
        <v>Monitorar</v>
      </c>
      <c r="W5" s="116" t="n">
        <f aca="false">(OR(fArea="Todas",ISNUMBER(SEARCH(fArea,G5))))*(OR(fStatus="Todos",N5=fStatus))*(OR(fSit="Todas",R5=fSit))*(OR(fResp="Todos",P5=fResp))*(OR(fHor="Todos",S5=fHor))</f>
        <v>1</v>
      </c>
      <c r="X5" s="117" t="n">
        <f aca="false">IF(AND(W5=1,U5&gt;0),(7-U5)*100000+50000-IF(ISNUMBER(Q5),Q5,0)+ROW()/1000,0)</f>
        <v>0</v>
      </c>
      <c r="Y5" s="118" t="str">
        <f aca="false">UPPER(A5&amp;" "&amp;TRIM(SUBSTITUTE(C5,CHAR(160)," "))&amp;" "&amp;TRIM(SUBSTITUTE(D5,CHAR(160)," ")))</f>
        <v>BRK-INS-01-010015-PT IT 5020-00217 DETERMINAÇÃO DA CONCENTRAÇÃO DE SULFETO</v>
      </c>
      <c r="Z5" s="118" t="str">
        <f aca="false">IF(qBusca="","",IF(ISNUMBER(SEARCH(TRIM(qBusca),Y5)),ROW(),""))</f>
        <v/>
      </c>
    </row>
    <row r="6" customFormat="false" ht="19.5" hidden="false" customHeight="true" outlineLevel="0" collapsed="false">
      <c r="A6" s="107" t="s">
        <v>166</v>
      </c>
      <c r="B6" s="108" t="s">
        <v>159</v>
      </c>
      <c r="C6" s="109" t="s">
        <v>167</v>
      </c>
      <c r="D6" s="109" t="s">
        <v>168</v>
      </c>
      <c r="E6" s="109" t="s">
        <v>162</v>
      </c>
      <c r="F6" s="110" t="n">
        <v>48008</v>
      </c>
      <c r="G6" s="108" t="s">
        <v>36</v>
      </c>
      <c r="H6" s="109"/>
      <c r="I6" s="109" t="s">
        <v>169</v>
      </c>
      <c r="J6" s="109"/>
      <c r="K6" s="109"/>
      <c r="L6" s="109" t="s">
        <v>170</v>
      </c>
      <c r="M6" s="108" t="n">
        <v>1</v>
      </c>
      <c r="N6" s="111" t="str">
        <f aca="false">IF(TRIM(SUBSTITUTE(E6,CHAR(160)," "))="Avaiação de uso","Avaliação de uso",IF(TRIM(SUBSTITUTE(E6,CHAR(160)," "))="Cancelada","Cancelado",TRIM(SUBSTITUTE(E6,CHAR(160)," "))))</f>
        <v>Aprovado</v>
      </c>
      <c r="O6" s="112" t="n">
        <f aca="false">IF(ISNUMBER(F6),F6,IFERROR(DATE(RIGHT(RIGHT(TRIM(F6),10),4),MID(RIGHT(TRIM(F6),10),4,2),LEFT(RIGHT(TRIM(F6),10),2)),""))</f>
        <v>48008</v>
      </c>
      <c r="P6" s="111" t="str">
        <f aca="false">PROPER(TRIM(SUBSTITUTE(I6,CHAR(160)," ")))</f>
        <v>Larissa Vicente Cardoso Guedes</v>
      </c>
      <c r="Q6" s="113" t="n">
        <f aca="false">IF(O6="","",O6-DataRef)</f>
        <v>1707</v>
      </c>
      <c r="R6" s="111" t="str">
        <f aca="false">IF(OR(N6="Cancelado",N6="Fora de Uso"),"Inativo",IF(OR(N6="Revisão",N6="Em Elaboração"),"Em tratamento",IF(OR(N6&lt;&gt;"Aprovado",O6=""),"Validar cadastro",IF(O6&lt;DataRef,"Ação imediata",IF(O6&lt;=EDATE(DataRef,12),"Planejar revisão","Regular")))))</f>
        <v>Regular</v>
      </c>
      <c r="S6" s="111" t="str">
        <f aca="false">IF(R6="Inativo","Inativo",IF(O6="","Sem validade",IF(O6&lt;DataRef,"Vencida",IF(O6&lt;=DataRef+90,"Até 90 dias",IF(O6&lt;=EDATE(DataRef,12),"91 dias a 12 meses","Após 12 meses")))))</f>
        <v>Após 12 meses</v>
      </c>
      <c r="T6" s="114" t="n">
        <f aca="false">IF(O6="","",DATE(YEAR(O6),MONTH(O6),1))</f>
        <v>48000</v>
      </c>
      <c r="U6" s="115" t="n">
        <f aca="false">IF(R6="Ação imediata",1,IF(N6="Não encontrado",2,IF(N6="Revisão",3,IF(N6="Em Elaboração",4,IF(S6="Até 90 dias",5,IF(R6="Validar cadastro",6,0))))))</f>
        <v>0</v>
      </c>
      <c r="V6" s="111" t="str">
        <f aca="false">CHOOSE(U6+1,IF(R6="Planejar revisão","Incluir no plano anual de revisão",IF(R6="Inativo","Sem ação","Monitorar")),"Revisar ou prorrogar validade","Confirmar status no NDocs","Acompanhar revisão","Concluir elaboração","Iniciar revisão (≤ 90 dias)","Validar aplicabilidade")</f>
        <v>Monitorar</v>
      </c>
      <c r="W6" s="116" t="n">
        <f aca="false">(OR(fArea="Todas",ISNUMBER(SEARCH(fArea,G6))))*(OR(fStatus="Todos",N6=fStatus))*(OR(fSit="Todas",R6=fSit))*(OR(fResp="Todos",P6=fResp))*(OR(fHor="Todos",S6=fHor))</f>
        <v>1</v>
      </c>
      <c r="X6" s="117" t="n">
        <f aca="false">IF(AND(W6=1,U6&gt;0),(7-U6)*100000+50000-IF(ISNUMBER(Q6),Q6,0)+ROW()/1000,0)</f>
        <v>0</v>
      </c>
      <c r="Y6" s="118" t="str">
        <f aca="false">UPPER(A6&amp;" "&amp;TRIM(SUBSTITUTE(C6,CHAR(160)," "))&amp;" "&amp;TRIM(SUBSTITUTE(D6,CHAR(160)," ")))</f>
        <v>BRK-INS-01-010021-PT IT 5020-00219 DETERMINAÇÃO DA TURBIDEZ</v>
      </c>
      <c r="Z6" s="118" t="str">
        <f aca="false">IF(qBusca="","",IF(ISNUMBER(SEARCH(TRIM(qBusca),Y6)),ROW(),""))</f>
        <v/>
      </c>
    </row>
    <row r="7" customFormat="false" ht="19.5" hidden="false" customHeight="true" outlineLevel="0" collapsed="false">
      <c r="A7" s="107" t="s">
        <v>171</v>
      </c>
      <c r="B7" s="108" t="s">
        <v>159</v>
      </c>
      <c r="C7" s="109" t="s">
        <v>172</v>
      </c>
      <c r="D7" s="109" t="s">
        <v>173</v>
      </c>
      <c r="E7" s="109" t="s">
        <v>162</v>
      </c>
      <c r="F7" s="110" t="n">
        <v>46846</v>
      </c>
      <c r="G7" s="108" t="s">
        <v>36</v>
      </c>
      <c r="H7" s="109"/>
      <c r="I7" s="109" t="s">
        <v>163</v>
      </c>
      <c r="J7" s="109"/>
      <c r="K7" s="109"/>
      <c r="L7" s="109" t="s">
        <v>174</v>
      </c>
      <c r="M7" s="108" t="n">
        <v>1</v>
      </c>
      <c r="N7" s="111" t="str">
        <f aca="false">IF(TRIM(SUBSTITUTE(E7,CHAR(160)," "))="Avaiação de uso","Avaliação de uso",IF(TRIM(SUBSTITUTE(E7,CHAR(160)," "))="Cancelada","Cancelado",TRIM(SUBSTITUTE(E7,CHAR(160)," "))))</f>
        <v>Aprovado</v>
      </c>
      <c r="O7" s="112" t="n">
        <f aca="false">IF(ISNUMBER(F7),F7,IFERROR(DATE(RIGHT(RIGHT(TRIM(F7),10),4),MID(RIGHT(TRIM(F7),10),4,2),LEFT(RIGHT(TRIM(F7),10),2)),""))</f>
        <v>46846</v>
      </c>
      <c r="P7" s="111" t="str">
        <f aca="false">PROPER(TRIM(SUBSTITUTE(I7,CHAR(160)," ")))</f>
        <v>Ana Carla Da Cruz Araujo</v>
      </c>
      <c r="Q7" s="113" t="n">
        <f aca="false">IF(O7="","",O7-DataRef)</f>
        <v>545</v>
      </c>
      <c r="R7" s="111" t="str">
        <f aca="false">IF(OR(N7="Cancelado",N7="Fora de Uso"),"Inativo",IF(OR(N7="Revisão",N7="Em Elaboração"),"Em tratamento",IF(OR(N7&lt;&gt;"Aprovado",O7=""),"Validar cadastro",IF(O7&lt;DataRef,"Ação imediata",IF(O7&lt;=EDATE(DataRef,12),"Planejar revisão","Regular")))))</f>
        <v>Regular</v>
      </c>
      <c r="S7" s="111" t="str">
        <f aca="false">IF(R7="Inativo","Inativo",IF(O7="","Sem validade",IF(O7&lt;DataRef,"Vencida",IF(O7&lt;=DataRef+90,"Até 90 dias",IF(O7&lt;=EDATE(DataRef,12),"91 dias a 12 meses","Após 12 meses")))))</f>
        <v>Após 12 meses</v>
      </c>
      <c r="T7" s="114" t="n">
        <f aca="false">IF(O7="","",DATE(YEAR(O7),MONTH(O7),1))</f>
        <v>46844</v>
      </c>
      <c r="U7" s="115" t="n">
        <f aca="false">IF(R7="Ação imediata",1,IF(N7="Não encontrado",2,IF(N7="Revisão",3,IF(N7="Em Elaboração",4,IF(S7="Até 90 dias",5,IF(R7="Validar cadastro",6,0))))))</f>
        <v>0</v>
      </c>
      <c r="V7" s="111" t="str">
        <f aca="false">CHOOSE(U7+1,IF(R7="Planejar revisão","Incluir no plano anual de revisão",IF(R7="Inativo","Sem ação","Monitorar")),"Revisar ou prorrogar validade","Confirmar status no NDocs","Acompanhar revisão","Concluir elaboração","Iniciar revisão (≤ 90 dias)","Validar aplicabilidade")</f>
        <v>Monitorar</v>
      </c>
      <c r="W7" s="116" t="n">
        <f aca="false">(OR(fArea="Todas",ISNUMBER(SEARCH(fArea,G7))))*(OR(fStatus="Todos",N7=fStatus))*(OR(fSit="Todas",R7=fSit))*(OR(fResp="Todos",P7=fResp))*(OR(fHor="Todos",S7=fHor))</f>
        <v>1</v>
      </c>
      <c r="X7" s="117" t="n">
        <f aca="false">IF(AND(W7=1,U7&gt;0),(7-U7)*100000+50000-IF(ISNUMBER(Q7),Q7,0)+ROW()/1000,0)</f>
        <v>0</v>
      </c>
      <c r="Y7" s="118" t="str">
        <f aca="false">UPPER(A7&amp;" "&amp;TRIM(SUBSTITUTE(C7,CHAR(160)," "))&amp;" "&amp;TRIM(SUBSTITUTE(D7,CHAR(160)," ")))</f>
        <v>BRK-INS-01-010028-PT IT 5020-00220 DETERMINAÇÃO DA CONCENTRAÇÃO DE CLORO RESIDUAL LIVRE</v>
      </c>
      <c r="Z7" s="118" t="str">
        <f aca="false">IF(qBusca="","",IF(ISNUMBER(SEARCH(TRIM(qBusca),Y7)),ROW(),""))</f>
        <v/>
      </c>
    </row>
    <row r="8" customFormat="false" ht="19.5" hidden="false" customHeight="true" outlineLevel="0" collapsed="false">
      <c r="A8" s="107" t="s">
        <v>175</v>
      </c>
      <c r="B8" s="108" t="s">
        <v>176</v>
      </c>
      <c r="C8" s="109" t="s">
        <v>177</v>
      </c>
      <c r="D8" s="109" t="s">
        <v>178</v>
      </c>
      <c r="E8" s="109" t="s">
        <v>162</v>
      </c>
      <c r="F8" s="110" t="n">
        <v>46846</v>
      </c>
      <c r="G8" s="108" t="s">
        <v>36</v>
      </c>
      <c r="H8" s="109"/>
      <c r="I8" s="109" t="s">
        <v>163</v>
      </c>
      <c r="J8" s="109" t="s">
        <v>179</v>
      </c>
      <c r="K8" s="109"/>
      <c r="L8" s="109" t="s">
        <v>180</v>
      </c>
      <c r="M8" s="108" t="n">
        <v>1</v>
      </c>
      <c r="N8" s="111" t="str">
        <f aca="false">IF(TRIM(SUBSTITUTE(E8,CHAR(160)," "))="Avaiação de uso","Avaliação de uso",IF(TRIM(SUBSTITUTE(E8,CHAR(160)," "))="Cancelada","Cancelado",TRIM(SUBSTITUTE(E8,CHAR(160)," "))))</f>
        <v>Aprovado</v>
      </c>
      <c r="O8" s="112" t="n">
        <f aca="false">IF(ISNUMBER(F8),F8,IFERROR(DATE(RIGHT(RIGHT(TRIM(F8),10),4),MID(RIGHT(TRIM(F8),10),4,2),LEFT(RIGHT(TRIM(F8),10),2)),""))</f>
        <v>46846</v>
      </c>
      <c r="P8" s="111" t="str">
        <f aca="false">PROPER(TRIM(SUBSTITUTE(I8,CHAR(160)," ")))</f>
        <v>Ana Carla Da Cruz Araujo</v>
      </c>
      <c r="Q8" s="113" t="n">
        <f aca="false">IF(O8="","",O8-DataRef)</f>
        <v>545</v>
      </c>
      <c r="R8" s="111" t="str">
        <f aca="false">IF(OR(N8="Cancelado",N8="Fora de Uso"),"Inativo",IF(OR(N8="Revisão",N8="Em Elaboração"),"Em tratamento",IF(OR(N8&lt;&gt;"Aprovado",O8=""),"Validar cadastro",IF(O8&lt;DataRef,"Ação imediata",IF(O8&lt;=EDATE(DataRef,12),"Planejar revisão","Regular")))))</f>
        <v>Regular</v>
      </c>
      <c r="S8" s="111" t="str">
        <f aca="false">IF(R8="Inativo","Inativo",IF(O8="","Sem validade",IF(O8&lt;DataRef,"Vencida",IF(O8&lt;=DataRef+90,"Até 90 dias",IF(O8&lt;=EDATE(DataRef,12),"91 dias a 12 meses","Após 12 meses")))))</f>
        <v>Após 12 meses</v>
      </c>
      <c r="T8" s="114" t="n">
        <f aca="false">IF(O8="","",DATE(YEAR(O8),MONTH(O8),1))</f>
        <v>46844</v>
      </c>
      <c r="U8" s="115" t="n">
        <f aca="false">IF(R8="Ação imediata",1,IF(N8="Não encontrado",2,IF(N8="Revisão",3,IF(N8="Em Elaboração",4,IF(S8="Até 90 dias",5,IF(R8="Validar cadastro",6,0))))))</f>
        <v>0</v>
      </c>
      <c r="V8" s="111" t="str">
        <f aca="false">CHOOSE(U8+1,IF(R8="Planejar revisão","Incluir no plano anual de revisão",IF(R8="Inativo","Sem ação","Monitorar")),"Revisar ou prorrogar validade","Confirmar status no NDocs","Acompanhar revisão","Concluir elaboração","Iniciar revisão (≤ 90 dias)","Validar aplicabilidade")</f>
        <v>Monitorar</v>
      </c>
      <c r="W8" s="116" t="n">
        <f aca="false">(OR(fArea="Todas",ISNUMBER(SEARCH(fArea,G8))))*(OR(fStatus="Todos",N8=fStatus))*(OR(fSit="Todas",R8=fSit))*(OR(fResp="Todos",P8=fResp))*(OR(fHor="Todos",S8=fHor))</f>
        <v>1</v>
      </c>
      <c r="X8" s="117" t="n">
        <f aca="false">IF(AND(W8=1,U8&gt;0),(7-U8)*100000+50000-IF(ISNUMBER(Q8),Q8,0)+ROW()/1000,0)</f>
        <v>0</v>
      </c>
      <c r="Y8" s="118" t="str">
        <f aca="false">UPPER(A8&amp;" "&amp;TRIM(SUBSTITUTE(C8,CHAR(160)," "))&amp;" "&amp;TRIM(SUBSTITUTE(D8,CHAR(160)," ")))</f>
        <v>BRK-INS-01-010035-PT IT 5020-00221 DETERMINAÇÃO DA CONCENTRAÇÃO DE NAOH E NA2CO3</v>
      </c>
      <c r="Z8" s="118" t="str">
        <f aca="false">IF(qBusca="","",IF(ISNUMBER(SEARCH(TRIM(qBusca),Y8)),ROW(),""))</f>
        <v/>
      </c>
    </row>
    <row r="9" customFormat="false" ht="19.5" hidden="false" customHeight="true" outlineLevel="0" collapsed="false">
      <c r="A9" s="107" t="s">
        <v>181</v>
      </c>
      <c r="B9" s="108" t="s">
        <v>176</v>
      </c>
      <c r="C9" s="109" t="s">
        <v>182</v>
      </c>
      <c r="D9" s="109" t="s">
        <v>183</v>
      </c>
      <c r="E9" s="109" t="s">
        <v>162</v>
      </c>
      <c r="F9" s="110" t="n">
        <v>46730</v>
      </c>
      <c r="G9" s="108" t="s">
        <v>36</v>
      </c>
      <c r="H9" s="109"/>
      <c r="I9" s="109" t="s">
        <v>163</v>
      </c>
      <c r="J9" s="109"/>
      <c r="K9" s="109"/>
      <c r="L9" s="109" t="s">
        <v>184</v>
      </c>
      <c r="M9" s="108" t="n">
        <v>1</v>
      </c>
      <c r="N9" s="111" t="str">
        <f aca="false">IF(TRIM(SUBSTITUTE(E9,CHAR(160)," "))="Avaiação de uso","Avaliação de uso",IF(TRIM(SUBSTITUTE(E9,CHAR(160)," "))="Cancelada","Cancelado",TRIM(SUBSTITUTE(E9,CHAR(160)," "))))</f>
        <v>Aprovado</v>
      </c>
      <c r="O9" s="112" t="n">
        <f aca="false">IF(ISNUMBER(F9),F9,IFERROR(DATE(RIGHT(RIGHT(TRIM(F9),10),4),MID(RIGHT(TRIM(F9),10),4,2),LEFT(RIGHT(TRIM(F9),10),2)),""))</f>
        <v>46730</v>
      </c>
      <c r="P9" s="111" t="str">
        <f aca="false">PROPER(TRIM(SUBSTITUTE(I9,CHAR(160)," ")))</f>
        <v>Ana Carla Da Cruz Araujo</v>
      </c>
      <c r="Q9" s="113" t="n">
        <f aca="false">IF(O9="","",O9-DataRef)</f>
        <v>429</v>
      </c>
      <c r="R9" s="111" t="str">
        <f aca="false">IF(OR(N9="Cancelado",N9="Fora de Uso"),"Inativo",IF(OR(N9="Revisão",N9="Em Elaboração"),"Em tratamento",IF(OR(N9&lt;&gt;"Aprovado",O9=""),"Validar cadastro",IF(O9&lt;DataRef,"Ação imediata",IF(O9&lt;=EDATE(DataRef,12),"Planejar revisão","Regular")))))</f>
        <v>Regular</v>
      </c>
      <c r="S9" s="111" t="str">
        <f aca="false">IF(R9="Inativo","Inativo",IF(O9="","Sem validade",IF(O9&lt;DataRef,"Vencida",IF(O9&lt;=DataRef+90,"Até 90 dias",IF(O9&lt;=EDATE(DataRef,12),"91 dias a 12 meses","Após 12 meses")))))</f>
        <v>Após 12 meses</v>
      </c>
      <c r="T9" s="114" t="n">
        <f aca="false">IF(O9="","",DATE(YEAR(O9),MONTH(O9),1))</f>
        <v>46722</v>
      </c>
      <c r="U9" s="115" t="n">
        <f aca="false">IF(R9="Ação imediata",1,IF(N9="Não encontrado",2,IF(N9="Revisão",3,IF(N9="Em Elaboração",4,IF(S9="Até 90 dias",5,IF(R9="Validar cadastro",6,0))))))</f>
        <v>0</v>
      </c>
      <c r="V9" s="111" t="str">
        <f aca="false">CHOOSE(U9+1,IF(R9="Planejar revisão","Incluir no plano anual de revisão",IF(R9="Inativo","Sem ação","Monitorar")),"Revisar ou prorrogar validade","Confirmar status no NDocs","Acompanhar revisão","Concluir elaboração","Iniciar revisão (≤ 90 dias)","Validar aplicabilidade")</f>
        <v>Monitorar</v>
      </c>
      <c r="W9" s="116" t="n">
        <f aca="false">(OR(fArea="Todas",ISNUMBER(SEARCH(fArea,G9))))*(OR(fStatus="Todos",N9=fStatus))*(OR(fSit="Todas",R9=fSit))*(OR(fResp="Todos",P9=fResp))*(OR(fHor="Todos",S9=fHor))</f>
        <v>1</v>
      </c>
      <c r="X9" s="117" t="n">
        <f aca="false">IF(AND(W9=1,U9&gt;0),(7-U9)*100000+50000-IF(ISNUMBER(Q9),Q9,0)+ROW()/1000,0)</f>
        <v>0</v>
      </c>
      <c r="Y9" s="118" t="str">
        <f aca="false">UPPER(A9&amp;" "&amp;TRIM(SUBSTITUTE(C9,CHAR(160)," "))&amp;" "&amp;TRIM(SUBSTITUTE(D9,CHAR(160)," ")))</f>
        <v>BRK-INS-01-010039-PT IT 5020-00222 DETERMINAÇÃO DA TEMPERATURA</v>
      </c>
      <c r="Z9" s="118" t="str">
        <f aca="false">IF(qBusca="","",IF(ISNUMBER(SEARCH(TRIM(qBusca),Y9)),ROW(),""))</f>
        <v/>
      </c>
    </row>
    <row r="10" customFormat="false" ht="19.5" hidden="false" customHeight="true" outlineLevel="0" collapsed="false">
      <c r="A10" s="107" t="s">
        <v>185</v>
      </c>
      <c r="B10" s="108" t="s">
        <v>176</v>
      </c>
      <c r="C10" s="109" t="s">
        <v>186</v>
      </c>
      <c r="D10" s="109" t="s">
        <v>187</v>
      </c>
      <c r="E10" s="109" t="s">
        <v>162</v>
      </c>
      <c r="F10" s="110" t="n">
        <v>46689</v>
      </c>
      <c r="G10" s="108" t="s">
        <v>36</v>
      </c>
      <c r="H10" s="109"/>
      <c r="I10" s="109" t="s">
        <v>163</v>
      </c>
      <c r="J10" s="109" t="s">
        <v>188</v>
      </c>
      <c r="K10" s="109"/>
      <c r="L10" s="109" t="s">
        <v>189</v>
      </c>
      <c r="M10" s="108" t="n">
        <v>1</v>
      </c>
      <c r="N10" s="111" t="str">
        <f aca="false">IF(TRIM(SUBSTITUTE(E10,CHAR(160)," "))="Avaiação de uso","Avaliação de uso",IF(TRIM(SUBSTITUTE(E10,CHAR(160)," "))="Cancelada","Cancelado",TRIM(SUBSTITUTE(E10,CHAR(160)," "))))</f>
        <v>Aprovado</v>
      </c>
      <c r="O10" s="112" t="n">
        <f aca="false">IF(ISNUMBER(F10),F10,IFERROR(DATE(RIGHT(RIGHT(TRIM(F10),10),4),MID(RIGHT(TRIM(F10),10),4,2),LEFT(RIGHT(TRIM(F10),10),2)),""))</f>
        <v>46689</v>
      </c>
      <c r="P10" s="111" t="str">
        <f aca="false">PROPER(TRIM(SUBSTITUTE(I10,CHAR(160)," ")))</f>
        <v>Ana Carla Da Cruz Araujo</v>
      </c>
      <c r="Q10" s="113" t="n">
        <f aca="false">IF(O10="","",O10-DataRef)</f>
        <v>388</v>
      </c>
      <c r="R10" s="111" t="str">
        <f aca="false">IF(OR(N10="Cancelado",N10="Fora de Uso"),"Inativo",IF(OR(N10="Revisão",N10="Em Elaboração"),"Em tratamento",IF(OR(N10&lt;&gt;"Aprovado",O10=""),"Validar cadastro",IF(O10&lt;DataRef,"Ação imediata",IF(O10&lt;=EDATE(DataRef,12),"Planejar revisão","Regular")))))</f>
        <v>Regular</v>
      </c>
      <c r="S10" s="111" t="str">
        <f aca="false">IF(R10="Inativo","Inativo",IF(O10="","Sem validade",IF(O10&lt;DataRef,"Vencida",IF(O10&lt;=DataRef+90,"Até 90 dias",IF(O10&lt;=EDATE(DataRef,12),"91 dias a 12 meses","Após 12 meses")))))</f>
        <v>Após 12 meses</v>
      </c>
      <c r="T10" s="114" t="n">
        <f aca="false">IF(O10="","",DATE(YEAR(O10),MONTH(O10),1))</f>
        <v>46661</v>
      </c>
      <c r="U10" s="115" t="n">
        <f aca="false">IF(R10="Ação imediata",1,IF(N10="Não encontrado",2,IF(N10="Revisão",3,IF(N10="Em Elaboração",4,IF(S10="Até 90 dias",5,IF(R10="Validar cadastro",6,0))))))</f>
        <v>0</v>
      </c>
      <c r="V10" s="111" t="str">
        <f aca="false">CHOOSE(U10+1,IF(R10="Planejar revisão","Incluir no plano anual de revisão",IF(R10="Inativo","Sem ação","Monitorar")),"Revisar ou prorrogar validade","Confirmar status no NDocs","Acompanhar revisão","Concluir elaboração","Iniciar revisão (≤ 90 dias)","Validar aplicabilidade")</f>
        <v>Monitorar</v>
      </c>
      <c r="W10" s="116" t="n">
        <f aca="false">(OR(fArea="Todas",ISNUMBER(SEARCH(fArea,G10))))*(OR(fStatus="Todos",N10=fStatus))*(OR(fSit="Todas",R10=fSit))*(OR(fResp="Todos",P10=fResp))*(OR(fHor="Todos",S10=fHor))</f>
        <v>1</v>
      </c>
      <c r="X10" s="117" t="n">
        <f aca="false">IF(AND(W10=1,U10&gt;0),(7-U10)*100000+50000-IF(ISNUMBER(Q10),Q10,0)+ROW()/1000,0)</f>
        <v>0</v>
      </c>
      <c r="Y10" s="118" t="str">
        <f aca="false">UPPER(A10&amp;" "&amp;TRIM(SUBSTITUTE(C10,CHAR(160)," "))&amp;" "&amp;TRIM(SUBSTITUTE(D10,CHAR(160)," ")))</f>
        <v>BRK-INS-01-010051-PT IT 5020-00225 DETERMINAÇÃO DO PH</v>
      </c>
      <c r="Z10" s="118" t="str">
        <f aca="false">IF(qBusca="","",IF(ISNUMBER(SEARCH(TRIM(qBusca),Y10)),ROW(),""))</f>
        <v/>
      </c>
    </row>
    <row r="11" customFormat="false" ht="19.5" hidden="false" customHeight="true" outlineLevel="0" collapsed="false">
      <c r="A11" s="107" t="s">
        <v>190</v>
      </c>
      <c r="B11" s="108" t="s">
        <v>191</v>
      </c>
      <c r="C11" s="109" t="s">
        <v>192</v>
      </c>
      <c r="D11" s="109" t="s">
        <v>193</v>
      </c>
      <c r="E11" s="109" t="s">
        <v>162</v>
      </c>
      <c r="F11" s="110" t="n">
        <v>46846</v>
      </c>
      <c r="G11" s="108" t="s">
        <v>36</v>
      </c>
      <c r="H11" s="109"/>
      <c r="I11" s="109" t="s">
        <v>163</v>
      </c>
      <c r="J11" s="109"/>
      <c r="K11" s="109"/>
      <c r="L11" s="109" t="s">
        <v>194</v>
      </c>
      <c r="M11" s="108" t="n">
        <v>1</v>
      </c>
      <c r="N11" s="111" t="str">
        <f aca="false">IF(TRIM(SUBSTITUTE(E11,CHAR(160)," "))="Avaiação de uso","Avaliação de uso",IF(TRIM(SUBSTITUTE(E11,CHAR(160)," "))="Cancelada","Cancelado",TRIM(SUBSTITUTE(E11,CHAR(160)," "))))</f>
        <v>Aprovado</v>
      </c>
      <c r="O11" s="112" t="n">
        <f aca="false">IF(ISNUMBER(F11),F11,IFERROR(DATE(RIGHT(RIGHT(TRIM(F11),10),4),MID(RIGHT(TRIM(F11),10),4,2),LEFT(RIGHT(TRIM(F11),10),2)),""))</f>
        <v>46846</v>
      </c>
      <c r="P11" s="111" t="str">
        <f aca="false">PROPER(TRIM(SUBSTITUTE(I11,CHAR(160)," ")))</f>
        <v>Ana Carla Da Cruz Araujo</v>
      </c>
      <c r="Q11" s="113" t="n">
        <f aca="false">IF(O11="","",O11-DataRef)</f>
        <v>545</v>
      </c>
      <c r="R11" s="111" t="str">
        <f aca="false">IF(OR(N11="Cancelado",N11="Fora de Uso"),"Inativo",IF(OR(N11="Revisão",N11="Em Elaboração"),"Em tratamento",IF(OR(N11&lt;&gt;"Aprovado",O11=""),"Validar cadastro",IF(O11&lt;DataRef,"Ação imediata",IF(O11&lt;=EDATE(DataRef,12),"Planejar revisão","Regular")))))</f>
        <v>Regular</v>
      </c>
      <c r="S11" s="111" t="str">
        <f aca="false">IF(R11="Inativo","Inativo",IF(O11="","Sem validade",IF(O11&lt;DataRef,"Vencida",IF(O11&lt;=DataRef+90,"Até 90 dias",IF(O11&lt;=EDATE(DataRef,12),"91 dias a 12 meses","Após 12 meses")))))</f>
        <v>Após 12 meses</v>
      </c>
      <c r="T11" s="114" t="n">
        <f aca="false">IF(O11="","",DATE(YEAR(O11),MONTH(O11),1))</f>
        <v>46844</v>
      </c>
      <c r="U11" s="115" t="n">
        <f aca="false">IF(R11="Ação imediata",1,IF(N11="Não encontrado",2,IF(N11="Revisão",3,IF(N11="Em Elaboração",4,IF(S11="Até 90 dias",5,IF(R11="Validar cadastro",6,0))))))</f>
        <v>0</v>
      </c>
      <c r="V11" s="111" t="str">
        <f aca="false">CHOOSE(U11+1,IF(R11="Planejar revisão","Incluir no plano anual de revisão",IF(R11="Inativo","Sem ação","Monitorar")),"Revisar ou prorrogar validade","Confirmar status no NDocs","Acompanhar revisão","Concluir elaboração","Iniciar revisão (≤ 90 dias)","Validar aplicabilidade")</f>
        <v>Monitorar</v>
      </c>
      <c r="W11" s="116" t="n">
        <f aca="false">(OR(fArea="Todas",ISNUMBER(SEARCH(fArea,G11))))*(OR(fStatus="Todos",N11=fStatus))*(OR(fSit="Todas",R11=fSit))*(OR(fResp="Todos",P11=fResp))*(OR(fHor="Todos",S11=fHor))</f>
        <v>1</v>
      </c>
      <c r="X11" s="117" t="n">
        <f aca="false">IF(AND(W11=1,U11&gt;0),(7-U11)*100000+50000-IF(ISNUMBER(Q11),Q11,0)+ROW()/1000,0)</f>
        <v>0</v>
      </c>
      <c r="Y11" s="118" t="str">
        <f aca="false">UPPER(A11&amp;" "&amp;TRIM(SUBSTITUTE(C11,CHAR(160)," "))&amp;" "&amp;TRIM(SUBSTITUTE(D11,CHAR(160)," ")))</f>
        <v>BRK-INS-01-010064-PT IT 5020-00228 PREPARO DE PADRÕES E SOLUÇÕES DO LCQ DCX - Q4, PE9 E PP5.</v>
      </c>
      <c r="Z11" s="118" t="str">
        <f aca="false">IF(qBusca="","",IF(ISNUMBER(SEARCH(TRIM(qBusca),Y11)),ROW(),""))</f>
        <v/>
      </c>
    </row>
    <row r="12" customFormat="false" ht="19.5" hidden="false" customHeight="true" outlineLevel="0" collapsed="false">
      <c r="A12" s="107" t="s">
        <v>195</v>
      </c>
      <c r="B12" s="108" t="s">
        <v>176</v>
      </c>
      <c r="C12" s="109" t="s">
        <v>196</v>
      </c>
      <c r="D12" s="109" t="s">
        <v>197</v>
      </c>
      <c r="E12" s="109" t="s">
        <v>162</v>
      </c>
      <c r="F12" s="110" t="n">
        <v>46731</v>
      </c>
      <c r="G12" s="108" t="s">
        <v>36</v>
      </c>
      <c r="H12" s="109"/>
      <c r="I12" s="109" t="s">
        <v>163</v>
      </c>
      <c r="J12" s="109"/>
      <c r="K12" s="109"/>
      <c r="L12" s="109" t="s">
        <v>198</v>
      </c>
      <c r="M12" s="108" t="n">
        <v>1</v>
      </c>
      <c r="N12" s="111" t="str">
        <f aca="false">IF(TRIM(SUBSTITUTE(E12,CHAR(160)," "))="Avaiação de uso","Avaliação de uso",IF(TRIM(SUBSTITUTE(E12,CHAR(160)," "))="Cancelada","Cancelado",TRIM(SUBSTITUTE(E12,CHAR(160)," "))))</f>
        <v>Aprovado</v>
      </c>
      <c r="O12" s="112" t="n">
        <f aca="false">IF(ISNUMBER(F12),F12,IFERROR(DATE(RIGHT(RIGHT(TRIM(F12),10),4),MID(RIGHT(TRIM(F12),10),4,2),LEFT(RIGHT(TRIM(F12),10),2)),""))</f>
        <v>46731</v>
      </c>
      <c r="P12" s="111" t="str">
        <f aca="false">PROPER(TRIM(SUBSTITUTE(I12,CHAR(160)," ")))</f>
        <v>Ana Carla Da Cruz Araujo</v>
      </c>
      <c r="Q12" s="113" t="n">
        <f aca="false">IF(O12="","",O12-DataRef)</f>
        <v>430</v>
      </c>
      <c r="R12" s="111" t="str">
        <f aca="false">IF(OR(N12="Cancelado",N12="Fora de Uso"),"Inativo",IF(OR(N12="Revisão",N12="Em Elaboração"),"Em tratamento",IF(OR(N12&lt;&gt;"Aprovado",O12=""),"Validar cadastro",IF(O12&lt;DataRef,"Ação imediata",IF(O12&lt;=EDATE(DataRef,12),"Planejar revisão","Regular")))))</f>
        <v>Regular</v>
      </c>
      <c r="S12" s="111" t="str">
        <f aca="false">IF(R12="Inativo","Inativo",IF(O12="","Sem validade",IF(O12&lt;DataRef,"Vencida",IF(O12&lt;=DataRef+90,"Até 90 dias",IF(O12&lt;=EDATE(DataRef,12),"91 dias a 12 meses","Após 12 meses")))))</f>
        <v>Após 12 meses</v>
      </c>
      <c r="T12" s="114" t="n">
        <f aca="false">IF(O12="","",DATE(YEAR(O12),MONTH(O12),1))</f>
        <v>46722</v>
      </c>
      <c r="U12" s="115" t="n">
        <f aca="false">IF(R12="Ação imediata",1,IF(N12="Não encontrado",2,IF(N12="Revisão",3,IF(N12="Em Elaboração",4,IF(S12="Até 90 dias",5,IF(R12="Validar cadastro",6,0))))))</f>
        <v>0</v>
      </c>
      <c r="V12" s="111" t="str">
        <f aca="false">CHOOSE(U12+1,IF(R12="Planejar revisão","Incluir no plano anual de revisão",IF(R12="Inativo","Sem ação","Monitorar")),"Revisar ou prorrogar validade","Confirmar status no NDocs","Acompanhar revisão","Concluir elaboração","Iniciar revisão (≤ 90 dias)","Validar aplicabilidade")</f>
        <v>Monitorar</v>
      </c>
      <c r="W12" s="116" t="n">
        <f aca="false">(OR(fArea="Todas",ISNUMBER(SEARCH(fArea,G12))))*(OR(fStatus="Todos",N12=fStatus))*(OR(fSit="Todas",R12=fSit))*(OR(fResp="Todos",P12=fResp))*(OR(fHor="Todos",S12=fHor))</f>
        <v>1</v>
      </c>
      <c r="X12" s="117" t="n">
        <f aca="false">IF(AND(W12=1,U12&gt;0),(7-U12)*100000+50000-IF(ISNUMBER(Q12),Q12,0)+ROW()/1000,0)</f>
        <v>0</v>
      </c>
      <c r="Y12" s="118" t="str">
        <f aca="false">UPPER(A12&amp;" "&amp;TRIM(SUBSTITUTE(C12,CHAR(160)," "))&amp;" "&amp;TRIM(SUBSTITUTE(D12,CHAR(160)," ")))</f>
        <v>BRK-INS-01-010069-PT IT 5020-00229 DETERMINAÇÃO DA CONCENTRAÇÃO DE SÍLICA EM ÁGUAS</v>
      </c>
      <c r="Z12" s="118" t="str">
        <f aca="false">IF(qBusca="","",IF(ISNUMBER(SEARCH(TRIM(qBusca),Y12)),ROW(),""))</f>
        <v/>
      </c>
    </row>
    <row r="13" customFormat="false" ht="19.5" hidden="false" customHeight="true" outlineLevel="0" collapsed="false">
      <c r="A13" s="107" t="s">
        <v>199</v>
      </c>
      <c r="B13" s="108" t="s">
        <v>176</v>
      </c>
      <c r="C13" s="109" t="s">
        <v>200</v>
      </c>
      <c r="D13" s="109" t="s">
        <v>201</v>
      </c>
      <c r="E13" s="109" t="s">
        <v>162</v>
      </c>
      <c r="F13" s="110" t="n">
        <v>46731</v>
      </c>
      <c r="G13" s="108" t="s">
        <v>36</v>
      </c>
      <c r="H13" s="109"/>
      <c r="I13" s="109" t="s">
        <v>163</v>
      </c>
      <c r="J13" s="109"/>
      <c r="K13" s="109"/>
      <c r="L13" s="109" t="s">
        <v>202</v>
      </c>
      <c r="M13" s="108" t="n">
        <v>1</v>
      </c>
      <c r="N13" s="111" t="str">
        <f aca="false">IF(TRIM(SUBSTITUTE(E13,CHAR(160)," "))="Avaiação de uso","Avaliação de uso",IF(TRIM(SUBSTITUTE(E13,CHAR(160)," "))="Cancelada","Cancelado",TRIM(SUBSTITUTE(E13,CHAR(160)," "))))</f>
        <v>Aprovado</v>
      </c>
      <c r="O13" s="112" t="n">
        <f aca="false">IF(ISNUMBER(F13),F13,IFERROR(DATE(RIGHT(RIGHT(TRIM(F13),10),4),MID(RIGHT(TRIM(F13),10),4,2),LEFT(RIGHT(TRIM(F13),10),2)),""))</f>
        <v>46731</v>
      </c>
      <c r="P13" s="111" t="str">
        <f aca="false">PROPER(TRIM(SUBSTITUTE(I13,CHAR(160)," ")))</f>
        <v>Ana Carla Da Cruz Araujo</v>
      </c>
      <c r="Q13" s="113" t="n">
        <f aca="false">IF(O13="","",O13-DataRef)</f>
        <v>430</v>
      </c>
      <c r="R13" s="111" t="str">
        <f aca="false">IF(OR(N13="Cancelado",N13="Fora de Uso"),"Inativo",IF(OR(N13="Revisão",N13="Em Elaboração"),"Em tratamento",IF(OR(N13&lt;&gt;"Aprovado",O13=""),"Validar cadastro",IF(O13&lt;DataRef,"Ação imediata",IF(O13&lt;=EDATE(DataRef,12),"Planejar revisão","Regular")))))</f>
        <v>Regular</v>
      </c>
      <c r="S13" s="111" t="str">
        <f aca="false">IF(R13="Inativo","Inativo",IF(O13="","Sem validade",IF(O13&lt;DataRef,"Vencida",IF(O13&lt;=DataRef+90,"Até 90 dias",IF(O13&lt;=EDATE(DataRef,12),"91 dias a 12 meses","Após 12 meses")))))</f>
        <v>Após 12 meses</v>
      </c>
      <c r="T13" s="114" t="n">
        <f aca="false">IF(O13="","",DATE(YEAR(O13),MONTH(O13),1))</f>
        <v>46722</v>
      </c>
      <c r="U13" s="115" t="n">
        <f aca="false">IF(R13="Ação imediata",1,IF(N13="Não encontrado",2,IF(N13="Revisão",3,IF(N13="Em Elaboração",4,IF(S13="Até 90 dias",5,IF(R13="Validar cadastro",6,0))))))</f>
        <v>0</v>
      </c>
      <c r="V13" s="111" t="str">
        <f aca="false">CHOOSE(U13+1,IF(R13="Planejar revisão","Incluir no plano anual de revisão",IF(R13="Inativo","Sem ação","Monitorar")),"Revisar ou prorrogar validade","Confirmar status no NDocs","Acompanhar revisão","Concluir elaboração","Iniciar revisão (≤ 90 dias)","Validar aplicabilidade")</f>
        <v>Monitorar</v>
      </c>
      <c r="W13" s="116" t="n">
        <f aca="false">(OR(fArea="Todas",ISNUMBER(SEARCH(fArea,G13))))*(OR(fStatus="Todos",N13=fStatus))*(OR(fSit="Todas",R13=fSit))*(OR(fResp="Todos",P13=fResp))*(OR(fHor="Todos",S13=fHor))</f>
        <v>1</v>
      </c>
      <c r="X13" s="117" t="n">
        <f aca="false">IF(AND(W13=1,U13&gt;0),(7-U13)*100000+50000-IF(ISNUMBER(Q13),Q13,0)+ROW()/1000,0)</f>
        <v>0</v>
      </c>
      <c r="Y13" s="118" t="str">
        <f aca="false">UPPER(A13&amp;" "&amp;TRIM(SUBSTITUTE(C13,CHAR(160)," "))&amp;" "&amp;TRIM(SUBSTITUTE(D13,CHAR(160)," ")))</f>
        <v>BRK-INS-01-010073-PT IT 5020-00231 DETERMINAÇÃO DA CONCENTRAÇÃO DE FÓSFORO TOTAL</v>
      </c>
      <c r="Z13" s="118" t="str">
        <f aca="false">IF(qBusca="","",IF(ISNUMBER(SEARCH(TRIM(qBusca),Y13)),ROW(),""))</f>
        <v/>
      </c>
    </row>
    <row r="14" customFormat="false" ht="19.5" hidden="false" customHeight="true" outlineLevel="0" collapsed="false">
      <c r="A14" s="107" t="s">
        <v>203</v>
      </c>
      <c r="B14" s="108" t="s">
        <v>176</v>
      </c>
      <c r="C14" s="109" t="s">
        <v>204</v>
      </c>
      <c r="D14" s="109" t="s">
        <v>205</v>
      </c>
      <c r="E14" s="109" t="s">
        <v>162</v>
      </c>
      <c r="F14" s="110" t="n">
        <v>46846</v>
      </c>
      <c r="G14" s="108" t="s">
        <v>36</v>
      </c>
      <c r="H14" s="109"/>
      <c r="I14" s="109" t="s">
        <v>163</v>
      </c>
      <c r="J14" s="109" t="s">
        <v>206</v>
      </c>
      <c r="K14" s="109"/>
      <c r="L14" s="109" t="s">
        <v>207</v>
      </c>
      <c r="M14" s="108" t="n">
        <v>1</v>
      </c>
      <c r="N14" s="111" t="str">
        <f aca="false">IF(TRIM(SUBSTITUTE(E14,CHAR(160)," "))="Avaiação de uso","Avaliação de uso",IF(TRIM(SUBSTITUTE(E14,CHAR(160)," "))="Cancelada","Cancelado",TRIM(SUBSTITUTE(E14,CHAR(160)," "))))</f>
        <v>Aprovado</v>
      </c>
      <c r="O14" s="112" t="n">
        <f aca="false">IF(ISNUMBER(F14),F14,IFERROR(DATE(RIGHT(RIGHT(TRIM(F14),10),4),MID(RIGHT(TRIM(F14),10),4,2),LEFT(RIGHT(TRIM(F14),10),2)),""))</f>
        <v>46846</v>
      </c>
      <c r="P14" s="111" t="str">
        <f aca="false">PROPER(TRIM(SUBSTITUTE(I14,CHAR(160)," ")))</f>
        <v>Ana Carla Da Cruz Araujo</v>
      </c>
      <c r="Q14" s="113" t="n">
        <f aca="false">IF(O14="","",O14-DataRef)</f>
        <v>545</v>
      </c>
      <c r="R14" s="111" t="str">
        <f aca="false">IF(OR(N14="Cancelado",N14="Fora de Uso"),"Inativo",IF(OR(N14="Revisão",N14="Em Elaboração"),"Em tratamento",IF(OR(N14&lt;&gt;"Aprovado",O14=""),"Validar cadastro",IF(O14&lt;DataRef,"Ação imediata",IF(O14&lt;=EDATE(DataRef,12),"Planejar revisão","Regular")))))</f>
        <v>Regular</v>
      </c>
      <c r="S14" s="111" t="str">
        <f aca="false">IF(R14="Inativo","Inativo",IF(O14="","Sem validade",IF(O14&lt;DataRef,"Vencida",IF(O14&lt;=DataRef+90,"Até 90 dias",IF(O14&lt;=EDATE(DataRef,12),"91 dias a 12 meses","Após 12 meses")))))</f>
        <v>Após 12 meses</v>
      </c>
      <c r="T14" s="114" t="n">
        <f aca="false">IF(O14="","",DATE(YEAR(O14),MONTH(O14),1))</f>
        <v>46844</v>
      </c>
      <c r="U14" s="115" t="n">
        <f aca="false">IF(R14="Ação imediata",1,IF(N14="Não encontrado",2,IF(N14="Revisão",3,IF(N14="Em Elaboração",4,IF(S14="Até 90 dias",5,IF(R14="Validar cadastro",6,0))))))</f>
        <v>0</v>
      </c>
      <c r="V14" s="111" t="str">
        <f aca="false">CHOOSE(U14+1,IF(R14="Planejar revisão","Incluir no plano anual de revisão",IF(R14="Inativo","Sem ação","Monitorar")),"Revisar ou prorrogar validade","Confirmar status no NDocs","Acompanhar revisão","Concluir elaboração","Iniciar revisão (≤ 90 dias)","Validar aplicabilidade")</f>
        <v>Monitorar</v>
      </c>
      <c r="W14" s="116" t="n">
        <f aca="false">(OR(fArea="Todas",ISNUMBER(SEARCH(fArea,G14))))*(OR(fStatus="Todos",N14=fStatus))*(OR(fSit="Todas",R14=fSit))*(OR(fResp="Todos",P14=fResp))*(OR(fHor="Todos",S14=fHor))</f>
        <v>1</v>
      </c>
      <c r="X14" s="117" t="n">
        <f aca="false">IF(AND(W14=1,U14&gt;0),(7-U14)*100000+50000-IF(ISNUMBER(Q14),Q14,0)+ROW()/1000,0)</f>
        <v>0</v>
      </c>
      <c r="Y14" s="118" t="str">
        <f aca="false">UPPER(A14&amp;" "&amp;TRIM(SUBSTITUTE(C14,CHAR(160)," "))&amp;" "&amp;TRIM(SUBSTITUTE(D14,CHAR(160)," ")))</f>
        <v>BRK-INS-01-010078-PT IT 5020-00232 DETERMINAÇÃO DA CONDUTIVIDADE EM ÁGUAS E EFLUENTES</v>
      </c>
      <c r="Z14" s="118" t="str">
        <f aca="false">IF(qBusca="","",IF(ISNUMBER(SEARCH(TRIM(qBusca),Y14)),ROW(),""))</f>
        <v/>
      </c>
    </row>
    <row r="15" customFormat="false" ht="19.5" hidden="false" customHeight="true" outlineLevel="0" collapsed="false">
      <c r="A15" s="107" t="s">
        <v>208</v>
      </c>
      <c r="B15" s="108" t="s">
        <v>176</v>
      </c>
      <c r="C15" s="109" t="s">
        <v>209</v>
      </c>
      <c r="D15" s="109" t="s">
        <v>210</v>
      </c>
      <c r="E15" s="109" t="s">
        <v>162</v>
      </c>
      <c r="F15" s="110" t="n">
        <v>46689</v>
      </c>
      <c r="G15" s="108" t="s">
        <v>36</v>
      </c>
      <c r="H15" s="109"/>
      <c r="I15" s="109" t="s">
        <v>163</v>
      </c>
      <c r="J15" s="109" t="s">
        <v>211</v>
      </c>
      <c r="K15" s="109"/>
      <c r="L15" s="109" t="s">
        <v>212</v>
      </c>
      <c r="M15" s="108" t="n">
        <v>1</v>
      </c>
      <c r="N15" s="111" t="str">
        <f aca="false">IF(TRIM(SUBSTITUTE(E15,CHAR(160)," "))="Avaiação de uso","Avaliação de uso",IF(TRIM(SUBSTITUTE(E15,CHAR(160)," "))="Cancelada","Cancelado",TRIM(SUBSTITUTE(E15,CHAR(160)," "))))</f>
        <v>Aprovado</v>
      </c>
      <c r="O15" s="112" t="n">
        <f aca="false">IF(ISNUMBER(F15),F15,IFERROR(DATE(RIGHT(RIGHT(TRIM(F15),10),4),MID(RIGHT(TRIM(F15),10),4,2),LEFT(RIGHT(TRIM(F15),10),2)),""))</f>
        <v>46689</v>
      </c>
      <c r="P15" s="111" t="str">
        <f aca="false">PROPER(TRIM(SUBSTITUTE(I15,CHAR(160)," ")))</f>
        <v>Ana Carla Da Cruz Araujo</v>
      </c>
      <c r="Q15" s="113" t="n">
        <f aca="false">IF(O15="","",O15-DataRef)</f>
        <v>388</v>
      </c>
      <c r="R15" s="111" t="str">
        <f aca="false">IF(OR(N15="Cancelado",N15="Fora de Uso"),"Inativo",IF(OR(N15="Revisão",N15="Em Elaboração"),"Em tratamento",IF(OR(N15&lt;&gt;"Aprovado",O15=""),"Validar cadastro",IF(O15&lt;DataRef,"Ação imediata",IF(O15&lt;=EDATE(DataRef,12),"Planejar revisão","Regular")))))</f>
        <v>Regular</v>
      </c>
      <c r="S15" s="111" t="str">
        <f aca="false">IF(R15="Inativo","Inativo",IF(O15="","Sem validade",IF(O15&lt;DataRef,"Vencida",IF(O15&lt;=DataRef+90,"Até 90 dias",IF(O15&lt;=EDATE(DataRef,12),"91 dias a 12 meses","Após 12 meses")))))</f>
        <v>Após 12 meses</v>
      </c>
      <c r="T15" s="114" t="n">
        <f aca="false">IF(O15="","",DATE(YEAR(O15),MONTH(O15),1))</f>
        <v>46661</v>
      </c>
      <c r="U15" s="115" t="n">
        <f aca="false">IF(R15="Ação imediata",1,IF(N15="Não encontrado",2,IF(N15="Revisão",3,IF(N15="Em Elaboração",4,IF(S15="Até 90 dias",5,IF(R15="Validar cadastro",6,0))))))</f>
        <v>0</v>
      </c>
      <c r="V15" s="111" t="str">
        <f aca="false">CHOOSE(U15+1,IF(R15="Planejar revisão","Incluir no plano anual de revisão",IF(R15="Inativo","Sem ação","Monitorar")),"Revisar ou prorrogar validade","Confirmar status no NDocs","Acompanhar revisão","Concluir elaboração","Iniciar revisão (≤ 90 dias)","Validar aplicabilidade")</f>
        <v>Monitorar</v>
      </c>
      <c r="W15" s="116" t="n">
        <f aca="false">(OR(fArea="Todas",ISNUMBER(SEARCH(fArea,G15))))*(OR(fStatus="Todos",N15=fStatus))*(OR(fSit="Todas",R15=fSit))*(OR(fResp="Todos",P15=fResp))*(OR(fHor="Todos",S15=fHor))</f>
        <v>1</v>
      </c>
      <c r="X15" s="117" t="n">
        <f aca="false">IF(AND(W15=1,U15&gt;0),(7-U15)*100000+50000-IF(ISNUMBER(Q15),Q15,0)+ROW()/1000,0)</f>
        <v>0</v>
      </c>
      <c r="Y15" s="118" t="str">
        <f aca="false">UPPER(A15&amp;" "&amp;TRIM(SUBSTITUTE(C15,CHAR(160)," "))&amp;" "&amp;TRIM(SUBSTITUTE(D15,CHAR(160)," ")))</f>
        <v>BRK-INS-01-010083-PT IT 5020-00233 DENSIDADE DO GÁS LIQUEFEITO DE PETRÓLEO POR DENSÍMETRO SOB PRESSÃO</v>
      </c>
      <c r="Z15" s="118" t="str">
        <f aca="false">IF(qBusca="","",IF(ISNUMBER(SEARCH(TRIM(qBusca),Y15)),ROW(),""))</f>
        <v/>
      </c>
    </row>
    <row r="16" customFormat="false" ht="19.5" hidden="false" customHeight="true" outlineLevel="0" collapsed="false">
      <c r="A16" s="107" t="s">
        <v>213</v>
      </c>
      <c r="B16" s="108" t="s">
        <v>159</v>
      </c>
      <c r="C16" s="109" t="s">
        <v>214</v>
      </c>
      <c r="D16" s="109" t="s">
        <v>215</v>
      </c>
      <c r="E16" s="109" t="s">
        <v>162</v>
      </c>
      <c r="F16" s="110" t="n">
        <v>47917</v>
      </c>
      <c r="G16" s="108" t="s">
        <v>36</v>
      </c>
      <c r="H16" s="109"/>
      <c r="I16" s="109" t="s">
        <v>163</v>
      </c>
      <c r="J16" s="109"/>
      <c r="K16" s="109"/>
      <c r="L16" s="109" t="s">
        <v>216</v>
      </c>
      <c r="M16" s="108" t="n">
        <v>1</v>
      </c>
      <c r="N16" s="111" t="str">
        <f aca="false">IF(TRIM(SUBSTITUTE(E16,CHAR(160)," "))="Avaiação de uso","Avaliação de uso",IF(TRIM(SUBSTITUTE(E16,CHAR(160)," "))="Cancelada","Cancelado",TRIM(SUBSTITUTE(E16,CHAR(160)," "))))</f>
        <v>Aprovado</v>
      </c>
      <c r="O16" s="112" t="n">
        <f aca="false">IF(ISNUMBER(F16),F16,IFERROR(DATE(RIGHT(RIGHT(TRIM(F16),10),4),MID(RIGHT(TRIM(F16),10),4,2),LEFT(RIGHT(TRIM(F16),10),2)),""))</f>
        <v>47917</v>
      </c>
      <c r="P16" s="111" t="str">
        <f aca="false">PROPER(TRIM(SUBSTITUTE(I16,CHAR(160)," ")))</f>
        <v>Ana Carla Da Cruz Araujo</v>
      </c>
      <c r="Q16" s="113" t="n">
        <f aca="false">IF(O16="","",O16-DataRef)</f>
        <v>1616</v>
      </c>
      <c r="R16" s="111" t="str">
        <f aca="false">IF(OR(N16="Cancelado",N16="Fora de Uso"),"Inativo",IF(OR(N16="Revisão",N16="Em Elaboração"),"Em tratamento",IF(OR(N16&lt;&gt;"Aprovado",O16=""),"Validar cadastro",IF(O16&lt;DataRef,"Ação imediata",IF(O16&lt;=EDATE(DataRef,12),"Planejar revisão","Regular")))))</f>
        <v>Regular</v>
      </c>
      <c r="S16" s="111" t="str">
        <f aca="false">IF(R16="Inativo","Inativo",IF(O16="","Sem validade",IF(O16&lt;DataRef,"Vencida",IF(O16&lt;=DataRef+90,"Até 90 dias",IF(O16&lt;=EDATE(DataRef,12),"91 dias a 12 meses","Após 12 meses")))))</f>
        <v>Após 12 meses</v>
      </c>
      <c r="T16" s="114" t="n">
        <f aca="false">IF(O16="","",DATE(YEAR(O16),MONTH(O16),1))</f>
        <v>47908</v>
      </c>
      <c r="U16" s="115" t="n">
        <f aca="false">IF(R16="Ação imediata",1,IF(N16="Não encontrado",2,IF(N16="Revisão",3,IF(N16="Em Elaboração",4,IF(S16="Até 90 dias",5,IF(R16="Validar cadastro",6,0))))))</f>
        <v>0</v>
      </c>
      <c r="V16" s="111" t="str">
        <f aca="false">CHOOSE(U16+1,IF(R16="Planejar revisão","Incluir no plano anual de revisão",IF(R16="Inativo","Sem ação","Monitorar")),"Revisar ou prorrogar validade","Confirmar status no NDocs","Acompanhar revisão","Concluir elaboração","Iniciar revisão (≤ 90 dias)","Validar aplicabilidade")</f>
        <v>Monitorar</v>
      </c>
      <c r="W16" s="116" t="n">
        <f aca="false">(OR(fArea="Todas",ISNUMBER(SEARCH(fArea,G16))))*(OR(fStatus="Todos",N16=fStatus))*(OR(fSit="Todas",R16=fSit))*(OR(fResp="Todos",P16=fResp))*(OR(fHor="Todos",S16=fHor))</f>
        <v>1</v>
      </c>
      <c r="X16" s="117" t="n">
        <f aca="false">IF(AND(W16=1,U16&gt;0),(7-U16)*100000+50000-IF(ISNUMBER(Q16),Q16,0)+ROW()/1000,0)</f>
        <v>0</v>
      </c>
      <c r="Y16" s="118" t="str">
        <f aca="false">UPPER(A16&amp;" "&amp;TRIM(SUBSTITUTE(C16,CHAR(160)," "))&amp;" "&amp;TRIM(SUBSTITUTE(D16,CHAR(160)," ")))</f>
        <v>BRK-INS-01-015113-PT IT 5020-02473 DETERMINAÇÃO DA CONCENTRAÇÃO DE NITROGÊNIO TOTAL</v>
      </c>
      <c r="Z16" s="118" t="str">
        <f aca="false">IF(qBusca="","",IF(ISNUMBER(SEARCH(TRIM(qBusca),Y16)),ROW(),""))</f>
        <v/>
      </c>
    </row>
    <row r="17" customFormat="false" ht="19.5" hidden="false" customHeight="true" outlineLevel="0" collapsed="false">
      <c r="A17" s="107" t="s">
        <v>217</v>
      </c>
      <c r="B17" s="108" t="s">
        <v>191</v>
      </c>
      <c r="C17" s="109" t="s">
        <v>218</v>
      </c>
      <c r="D17" s="109" t="s">
        <v>219</v>
      </c>
      <c r="E17" s="109" t="s">
        <v>162</v>
      </c>
      <c r="F17" s="110" t="n">
        <v>46907</v>
      </c>
      <c r="G17" s="108" t="s">
        <v>36</v>
      </c>
      <c r="H17" s="109"/>
      <c r="I17" s="109" t="s">
        <v>163</v>
      </c>
      <c r="J17" s="109"/>
      <c r="K17" s="109"/>
      <c r="L17" s="109" t="s">
        <v>220</v>
      </c>
      <c r="M17" s="108" t="n">
        <v>1</v>
      </c>
      <c r="N17" s="111" t="str">
        <f aca="false">IF(TRIM(SUBSTITUTE(E17,CHAR(160)," "))="Avaiação de uso","Avaliação de uso",IF(TRIM(SUBSTITUTE(E17,CHAR(160)," "))="Cancelada","Cancelado",TRIM(SUBSTITUTE(E17,CHAR(160)," "))))</f>
        <v>Aprovado</v>
      </c>
      <c r="O17" s="112" t="n">
        <f aca="false">IF(ISNUMBER(F17),F17,IFERROR(DATE(RIGHT(RIGHT(TRIM(F17),10),4),MID(RIGHT(TRIM(F17),10),4,2),LEFT(RIGHT(TRIM(F17),10),2)),""))</f>
        <v>46907</v>
      </c>
      <c r="P17" s="111" t="str">
        <f aca="false">PROPER(TRIM(SUBSTITUTE(I17,CHAR(160)," ")))</f>
        <v>Ana Carla Da Cruz Araujo</v>
      </c>
      <c r="Q17" s="113" t="n">
        <f aca="false">IF(O17="","",O17-DataRef)</f>
        <v>606</v>
      </c>
      <c r="R17" s="111" t="str">
        <f aca="false">IF(OR(N17="Cancelado",N17="Fora de Uso"),"Inativo",IF(OR(N17="Revisão",N17="Em Elaboração"),"Em tratamento",IF(OR(N17&lt;&gt;"Aprovado",O17=""),"Validar cadastro",IF(O17&lt;DataRef,"Ação imediata",IF(O17&lt;=EDATE(DataRef,12),"Planejar revisão","Regular")))))</f>
        <v>Regular</v>
      </c>
      <c r="S17" s="111" t="str">
        <f aca="false">IF(R17="Inativo","Inativo",IF(O17="","Sem validade",IF(O17&lt;DataRef,"Vencida",IF(O17&lt;=DataRef+90,"Até 90 dias",IF(O17&lt;=EDATE(DataRef,12),"91 dias a 12 meses","Após 12 meses")))))</f>
        <v>Após 12 meses</v>
      </c>
      <c r="T17" s="114" t="n">
        <f aca="false">IF(O17="","",DATE(YEAR(O17),MONTH(O17),1))</f>
        <v>46905</v>
      </c>
      <c r="U17" s="115" t="n">
        <f aca="false">IF(R17="Ação imediata",1,IF(N17="Não encontrado",2,IF(N17="Revisão",3,IF(N17="Em Elaboração",4,IF(S17="Até 90 dias",5,IF(R17="Validar cadastro",6,0))))))</f>
        <v>0</v>
      </c>
      <c r="V17" s="111" t="str">
        <f aca="false">CHOOSE(U17+1,IF(R17="Planejar revisão","Incluir no plano anual de revisão",IF(R17="Inativo","Sem ação","Monitorar")),"Revisar ou prorrogar validade","Confirmar status no NDocs","Acompanhar revisão","Concluir elaboração","Iniciar revisão (≤ 90 dias)","Validar aplicabilidade")</f>
        <v>Monitorar</v>
      </c>
      <c r="W17" s="116" t="n">
        <f aca="false">(OR(fArea="Todas",ISNUMBER(SEARCH(fArea,G17))))*(OR(fStatus="Todos",N17=fStatus))*(OR(fSit="Todas",R17=fSit))*(OR(fResp="Todos",P17=fResp))*(OR(fHor="Todos",S17=fHor))</f>
        <v>1</v>
      </c>
      <c r="X17" s="117" t="n">
        <f aca="false">IF(AND(W17=1,U17&gt;0),(7-U17)*100000+50000-IF(ISNUMBER(Q17),Q17,0)+ROW()/1000,0)</f>
        <v>0</v>
      </c>
      <c r="Y17" s="118" t="str">
        <f aca="false">UPPER(A17&amp;" "&amp;TRIM(SUBSTITUTE(C17,CHAR(160)," "))&amp;" "&amp;TRIM(SUBSTITUTE(D17,CHAR(160)," ")))</f>
        <v>BRK-INS-01-015318-PT IT 5020-02558 DETERMINAÇÃO DE GASES INORGÂNICOS E HIDROCARBONETOS LEVES POR CROMATOGRAFIA EM FASE GASOSA</v>
      </c>
      <c r="Z17" s="118" t="str">
        <f aca="false">IF(qBusca="","",IF(ISNUMBER(SEARCH(TRIM(qBusca),Y17)),ROW(),""))</f>
        <v/>
      </c>
    </row>
    <row r="18" customFormat="false" ht="19.5" hidden="false" customHeight="true" outlineLevel="0" collapsed="false">
      <c r="A18" s="107" t="s">
        <v>221</v>
      </c>
      <c r="B18" s="108" t="s">
        <v>222</v>
      </c>
      <c r="C18" s="109" t="s">
        <v>223</v>
      </c>
      <c r="D18" s="109" t="s">
        <v>224</v>
      </c>
      <c r="E18" s="109" t="s">
        <v>225</v>
      </c>
      <c r="F18" s="110"/>
      <c r="G18" s="108" t="s">
        <v>36</v>
      </c>
      <c r="H18" s="109"/>
      <c r="I18" s="109" t="s">
        <v>226</v>
      </c>
      <c r="J18" s="109" t="s">
        <v>227</v>
      </c>
      <c r="K18" s="109"/>
      <c r="L18" s="109" t="s">
        <v>228</v>
      </c>
      <c r="M18" s="108" t="n">
        <v>1</v>
      </c>
      <c r="N18" s="111" t="str">
        <f aca="false">IF(TRIM(SUBSTITUTE(E18,CHAR(160)," "))="Avaiação de uso","Avaliação de uso",IF(TRIM(SUBSTITUTE(E18,CHAR(160)," "))="Cancelada","Cancelado",TRIM(SUBSTITUTE(E18,CHAR(160)," "))))</f>
        <v>Em Elaboração</v>
      </c>
      <c r="O18" s="112" t="str">
        <f aca="false">IF(ISNUMBER(F18),F18,IFERROR(DATE(RIGHT(RIGHT(TRIM(F18),10),4),MID(RIGHT(TRIM(F18),10),4,2),LEFT(RIGHT(TRIM(F18),10),2)),""))</f>
        <v/>
      </c>
      <c r="P18" s="111" t="str">
        <f aca="false">PROPER(TRIM(SUBSTITUTE(I18,CHAR(160)," ")))</f>
        <v>Isabel Teixeira Malvar Pinto</v>
      </c>
      <c r="Q18" s="113" t="str">
        <f aca="false">IF(O18="","",O18-DataRef)</f>
        <v/>
      </c>
      <c r="R18" s="111" t="str">
        <f aca="false">IF(OR(N18="Cancelado",N18="Fora de Uso"),"Inativo",IF(OR(N18="Revisão",N18="Em Elaboração"),"Em tratamento",IF(OR(N18&lt;&gt;"Aprovado",O18=""),"Validar cadastro",IF(O18&lt;DataRef,"Ação imediata",IF(O18&lt;=EDATE(DataRef,12),"Planejar revisão","Regular")))))</f>
        <v>Em tratamento</v>
      </c>
      <c r="S18" s="111" t="str">
        <f aca="false">IF(R18="Inativo","Inativo",IF(O18="","Sem validade",IF(O18&lt;DataRef,"Vencida",IF(O18&lt;=DataRef+90,"Até 90 dias",IF(O18&lt;=EDATE(DataRef,12),"91 dias a 12 meses","Após 12 meses")))))</f>
        <v>Sem validade</v>
      </c>
      <c r="T18" s="114" t="str">
        <f aca="false">IF(O18="","",DATE(YEAR(O18),MONTH(O18),1))</f>
        <v/>
      </c>
      <c r="U18" s="115" t="n">
        <f aca="false">IF(R18="Ação imediata",1,IF(N18="Não encontrado",2,IF(N18="Revisão",3,IF(N18="Em Elaboração",4,IF(S18="Até 90 dias",5,IF(R18="Validar cadastro",6,0))))))</f>
        <v>4</v>
      </c>
      <c r="V18" s="111" t="str">
        <f aca="false">CHOOSE(U18+1,IF(R18="Planejar revisão","Incluir no plano anual de revisão",IF(R18="Inativo","Sem ação","Monitorar")),"Revisar ou prorrogar validade","Confirmar status no NDocs","Acompanhar revisão","Concluir elaboração","Iniciar revisão (≤ 90 dias)","Validar aplicabilidade")</f>
        <v>Concluir elaboração</v>
      </c>
      <c r="W18" s="116" t="n">
        <f aca="false">(OR(fArea="Todas",ISNUMBER(SEARCH(fArea,G18))))*(OR(fStatus="Todos",N18=fStatus))*(OR(fSit="Todas",R18=fSit))*(OR(fResp="Todos",P18=fResp))*(OR(fHor="Todos",S18=fHor))</f>
        <v>1</v>
      </c>
      <c r="X18" s="117" t="n">
        <f aca="false">IF(AND(W18=1,U18&gt;0),(7-U18)*100000+50000-IF(ISNUMBER(Q18),Q18,0)+ROW()/1000,0)</f>
        <v>350000.018</v>
      </c>
      <c r="Y18" s="118" t="str">
        <f aca="false">UPPER(A18&amp;" "&amp;TRIM(SUBSTITUTE(C18,CHAR(160)," "))&amp;" "&amp;TRIM(SUBSTITUTE(D18,CHAR(160)," ")))</f>
        <v>BRK-INS-01-015837-PT IT 5020-02742 DETERMINAÇÃO DE INORGÂNICOS POR CROMATOGRAFIA GASOSA</v>
      </c>
      <c r="Z18" s="118" t="str">
        <f aca="false">IF(qBusca="","",IF(ISNUMBER(SEARCH(TRIM(qBusca),Y18)),ROW(),""))</f>
        <v/>
      </c>
    </row>
    <row r="19" customFormat="false" ht="19.5" hidden="false" customHeight="true" outlineLevel="0" collapsed="false">
      <c r="A19" s="107" t="s">
        <v>229</v>
      </c>
      <c r="B19" s="108" t="s">
        <v>176</v>
      </c>
      <c r="C19" s="109" t="s">
        <v>230</v>
      </c>
      <c r="D19" s="109" t="s">
        <v>231</v>
      </c>
      <c r="E19" s="109" t="s">
        <v>162</v>
      </c>
      <c r="F19" s="110" t="n">
        <v>46689</v>
      </c>
      <c r="G19" s="108" t="s">
        <v>36</v>
      </c>
      <c r="H19" s="109"/>
      <c r="I19" s="109" t="s">
        <v>163</v>
      </c>
      <c r="J19" s="109" t="s">
        <v>232</v>
      </c>
      <c r="K19" s="109"/>
      <c r="L19" s="109" t="s">
        <v>233</v>
      </c>
      <c r="M19" s="108" t="n">
        <v>1</v>
      </c>
      <c r="N19" s="111" t="str">
        <f aca="false">IF(TRIM(SUBSTITUTE(E19,CHAR(160)," "))="Avaiação de uso","Avaliação de uso",IF(TRIM(SUBSTITUTE(E19,CHAR(160)," "))="Cancelada","Cancelado",TRIM(SUBSTITUTE(E19,CHAR(160)," "))))</f>
        <v>Aprovado</v>
      </c>
      <c r="O19" s="112" t="n">
        <f aca="false">IF(ISNUMBER(F19),F19,IFERROR(DATE(RIGHT(RIGHT(TRIM(F19),10),4),MID(RIGHT(TRIM(F19),10),4,2),LEFT(RIGHT(TRIM(F19),10),2)),""))</f>
        <v>46689</v>
      </c>
      <c r="P19" s="111" t="str">
        <f aca="false">PROPER(TRIM(SUBSTITUTE(I19,CHAR(160)," ")))</f>
        <v>Ana Carla Da Cruz Araujo</v>
      </c>
      <c r="Q19" s="113" t="n">
        <f aca="false">IF(O19="","",O19-DataRef)</f>
        <v>388</v>
      </c>
      <c r="R19" s="111" t="str">
        <f aca="false">IF(OR(N19="Cancelado",N19="Fora de Uso"),"Inativo",IF(OR(N19="Revisão",N19="Em Elaboração"),"Em tratamento",IF(OR(N19&lt;&gt;"Aprovado",O19=""),"Validar cadastro",IF(O19&lt;DataRef,"Ação imediata",IF(O19&lt;=EDATE(DataRef,12),"Planejar revisão","Regular")))))</f>
        <v>Regular</v>
      </c>
      <c r="S19" s="111" t="str">
        <f aca="false">IF(R19="Inativo","Inativo",IF(O19="","Sem validade",IF(O19&lt;DataRef,"Vencida",IF(O19&lt;=DataRef+90,"Até 90 dias",IF(O19&lt;=EDATE(DataRef,12),"91 dias a 12 meses","Após 12 meses")))))</f>
        <v>Após 12 meses</v>
      </c>
      <c r="T19" s="114" t="n">
        <f aca="false">IF(O19="","",DATE(YEAR(O19),MONTH(O19),1))</f>
        <v>46661</v>
      </c>
      <c r="U19" s="115" t="n">
        <f aca="false">IF(R19="Ação imediata",1,IF(N19="Não encontrado",2,IF(N19="Revisão",3,IF(N19="Em Elaboração",4,IF(S19="Até 90 dias",5,IF(R19="Validar cadastro",6,0))))))</f>
        <v>0</v>
      </c>
      <c r="V19" s="111" t="str">
        <f aca="false">CHOOSE(U19+1,IF(R19="Planejar revisão","Incluir no plano anual de revisão",IF(R19="Inativo","Sem ação","Monitorar")),"Revisar ou prorrogar validade","Confirmar status no NDocs","Acompanhar revisão","Concluir elaboração","Iniciar revisão (≤ 90 dias)","Validar aplicabilidade")</f>
        <v>Monitorar</v>
      </c>
      <c r="W19" s="116" t="n">
        <f aca="false">(OR(fArea="Todas",ISNUMBER(SEARCH(fArea,G19))))*(OR(fStatus="Todos",N19=fStatus))*(OR(fSit="Todas",R19=fSit))*(OR(fResp="Todos",P19=fResp))*(OR(fHor="Todos",S19=fHor))</f>
        <v>1</v>
      </c>
      <c r="X19" s="117" t="n">
        <f aca="false">IF(AND(W19=1,U19&gt;0),(7-U19)*100000+50000-IF(ISNUMBER(Q19),Q19,0)+ROW()/1000,0)</f>
        <v>0</v>
      </c>
      <c r="Y19" s="118" t="str">
        <f aca="false">UPPER(A19&amp;" "&amp;TRIM(SUBSTITUTE(C19,CHAR(160)," "))&amp;" "&amp;TRIM(SUBSTITUTE(D19,CHAR(160)," ")))</f>
        <v>BRK-INS-01-016192-PT IT 5020-00164 DETERMINAÇÃO DE GOMA POTENCIAL</v>
      </c>
      <c r="Z19" s="118" t="str">
        <f aca="false">IF(qBusca="","",IF(ISNUMBER(SEARCH(TRIM(qBusca),Y19)),ROW(),""))</f>
        <v/>
      </c>
    </row>
    <row r="20" customFormat="false" ht="19.5" hidden="false" customHeight="true" outlineLevel="0" collapsed="false">
      <c r="A20" s="107" t="s">
        <v>234</v>
      </c>
      <c r="B20" s="108" t="s">
        <v>235</v>
      </c>
      <c r="C20" s="109" t="s">
        <v>236</v>
      </c>
      <c r="D20" s="109" t="s">
        <v>237</v>
      </c>
      <c r="E20" s="109" t="s">
        <v>162</v>
      </c>
      <c r="F20" s="110" t="n">
        <v>46846</v>
      </c>
      <c r="G20" s="108" t="s">
        <v>36</v>
      </c>
      <c r="H20" s="109"/>
      <c r="I20" s="109" t="s">
        <v>163</v>
      </c>
      <c r="J20" s="109" t="s">
        <v>238</v>
      </c>
      <c r="K20" s="109"/>
      <c r="L20" s="109" t="s">
        <v>239</v>
      </c>
      <c r="M20" s="108" t="n">
        <v>1</v>
      </c>
      <c r="N20" s="111" t="str">
        <f aca="false">IF(TRIM(SUBSTITUTE(E20,CHAR(160)," "))="Avaiação de uso","Avaliação de uso",IF(TRIM(SUBSTITUTE(E20,CHAR(160)," "))="Cancelada","Cancelado",TRIM(SUBSTITUTE(E20,CHAR(160)," "))))</f>
        <v>Aprovado</v>
      </c>
      <c r="O20" s="112" t="n">
        <f aca="false">IF(ISNUMBER(F20),F20,IFERROR(DATE(RIGHT(RIGHT(TRIM(F20),10),4),MID(RIGHT(TRIM(F20),10),4,2),LEFT(RIGHT(TRIM(F20),10),2)),""))</f>
        <v>46846</v>
      </c>
      <c r="P20" s="111" t="str">
        <f aca="false">PROPER(TRIM(SUBSTITUTE(I20,CHAR(160)," ")))</f>
        <v>Ana Carla Da Cruz Araujo</v>
      </c>
      <c r="Q20" s="113" t="n">
        <f aca="false">IF(O20="","",O20-DataRef)</f>
        <v>545</v>
      </c>
      <c r="R20" s="111" t="str">
        <f aca="false">IF(OR(N20="Cancelado",N20="Fora de Uso"),"Inativo",IF(OR(N20="Revisão",N20="Em Elaboração"),"Em tratamento",IF(OR(N20&lt;&gt;"Aprovado",O20=""),"Validar cadastro",IF(O20&lt;DataRef,"Ação imediata",IF(O20&lt;=EDATE(DataRef,12),"Planejar revisão","Regular")))))</f>
        <v>Regular</v>
      </c>
      <c r="S20" s="111" t="str">
        <f aca="false">IF(R20="Inativo","Inativo",IF(O20="","Sem validade",IF(O20&lt;DataRef,"Vencida",IF(O20&lt;=DataRef+90,"Até 90 dias",IF(O20&lt;=EDATE(DataRef,12),"91 dias a 12 meses","Após 12 meses")))))</f>
        <v>Após 12 meses</v>
      </c>
      <c r="T20" s="114" t="n">
        <f aca="false">IF(O20="","",DATE(YEAR(O20),MONTH(O20),1))</f>
        <v>46844</v>
      </c>
      <c r="U20" s="115" t="n">
        <f aca="false">IF(R20="Ação imediata",1,IF(N20="Não encontrado",2,IF(N20="Revisão",3,IF(N20="Em Elaboração",4,IF(S20="Até 90 dias",5,IF(R20="Validar cadastro",6,0))))))</f>
        <v>0</v>
      </c>
      <c r="V20" s="111" t="str">
        <f aca="false">CHOOSE(U20+1,IF(R20="Planejar revisão","Incluir no plano anual de revisão",IF(R20="Inativo","Sem ação","Monitorar")),"Revisar ou prorrogar validade","Confirmar status no NDocs","Acompanhar revisão","Concluir elaboração","Iniciar revisão (≤ 90 dias)","Validar aplicabilidade")</f>
        <v>Monitorar</v>
      </c>
      <c r="W20" s="116" t="n">
        <f aca="false">(OR(fArea="Todas",ISNUMBER(SEARCH(fArea,G20))))*(OR(fStatus="Todos",N20=fStatus))*(OR(fSit="Todas",R20=fSit))*(OR(fResp="Todos",P20=fResp))*(OR(fHor="Todos",S20=fHor))</f>
        <v>1</v>
      </c>
      <c r="X20" s="117" t="n">
        <f aca="false">IF(AND(W20=1,U20&gt;0),(7-U20)*100000+50000-IF(ISNUMBER(Q20),Q20,0)+ROW()/1000,0)</f>
        <v>0</v>
      </c>
      <c r="Y20" s="118" t="str">
        <f aca="false">UPPER(A20&amp;" "&amp;TRIM(SUBSTITUTE(C20,CHAR(160)," "))&amp;" "&amp;TRIM(SUBSTITUTE(D20,CHAR(160)," ")))</f>
        <v>BRK-INS-01-016201-PT IT 5020-00166 DETERMINAÇÃO DO PERÍODO DE INDUÇÃO</v>
      </c>
      <c r="Z20" s="118" t="str">
        <f aca="false">IF(qBusca="","",IF(ISNUMBER(SEARCH(TRIM(qBusca),Y20)),ROW(),""))</f>
        <v/>
      </c>
    </row>
    <row r="21" customFormat="false" ht="19.5" hidden="false" customHeight="true" outlineLevel="0" collapsed="false">
      <c r="A21" s="107" t="s">
        <v>240</v>
      </c>
      <c r="B21" s="108" t="s">
        <v>191</v>
      </c>
      <c r="C21" s="109" t="s">
        <v>241</v>
      </c>
      <c r="D21" s="109" t="s">
        <v>242</v>
      </c>
      <c r="E21" s="109" t="s">
        <v>162</v>
      </c>
      <c r="F21" s="110" t="n">
        <v>47974</v>
      </c>
      <c r="G21" s="108" t="s">
        <v>36</v>
      </c>
      <c r="H21" s="109"/>
      <c r="I21" s="109" t="s">
        <v>163</v>
      </c>
      <c r="J21" s="109"/>
      <c r="K21" s="109"/>
      <c r="L21" s="109" t="s">
        <v>243</v>
      </c>
      <c r="M21" s="108" t="n">
        <v>1</v>
      </c>
      <c r="N21" s="111" t="str">
        <f aca="false">IF(TRIM(SUBSTITUTE(E21,CHAR(160)," "))="Avaiação de uso","Avaliação de uso",IF(TRIM(SUBSTITUTE(E21,CHAR(160)," "))="Cancelada","Cancelado",TRIM(SUBSTITUTE(E21,CHAR(160)," "))))</f>
        <v>Aprovado</v>
      </c>
      <c r="O21" s="112" t="n">
        <f aca="false">IF(ISNUMBER(F21),F21,IFERROR(DATE(RIGHT(RIGHT(TRIM(F21),10),4),MID(RIGHT(TRIM(F21),10),4,2),LEFT(RIGHT(TRIM(F21),10),2)),""))</f>
        <v>47974</v>
      </c>
      <c r="P21" s="111" t="str">
        <f aca="false">PROPER(TRIM(SUBSTITUTE(I21,CHAR(160)," ")))</f>
        <v>Ana Carla Da Cruz Araujo</v>
      </c>
      <c r="Q21" s="113" t="n">
        <f aca="false">IF(O21="","",O21-DataRef)</f>
        <v>1673</v>
      </c>
      <c r="R21" s="111" t="str">
        <f aca="false">IF(OR(N21="Cancelado",N21="Fora de Uso"),"Inativo",IF(OR(N21="Revisão",N21="Em Elaboração"),"Em tratamento",IF(OR(N21&lt;&gt;"Aprovado",O21=""),"Validar cadastro",IF(O21&lt;DataRef,"Ação imediata",IF(O21&lt;=EDATE(DataRef,12),"Planejar revisão","Regular")))))</f>
        <v>Regular</v>
      </c>
      <c r="S21" s="111" t="str">
        <f aca="false">IF(R21="Inativo","Inativo",IF(O21="","Sem validade",IF(O21&lt;DataRef,"Vencida",IF(O21&lt;=DataRef+90,"Até 90 dias",IF(O21&lt;=EDATE(DataRef,12),"91 dias a 12 meses","Após 12 meses")))))</f>
        <v>Após 12 meses</v>
      </c>
      <c r="T21" s="114" t="n">
        <f aca="false">IF(O21="","",DATE(YEAR(O21),MONTH(O21),1))</f>
        <v>47969</v>
      </c>
      <c r="U21" s="115" t="n">
        <f aca="false">IF(R21="Ação imediata",1,IF(N21="Não encontrado",2,IF(N21="Revisão",3,IF(N21="Em Elaboração",4,IF(S21="Até 90 dias",5,IF(R21="Validar cadastro",6,0))))))</f>
        <v>0</v>
      </c>
      <c r="V21" s="111" t="str">
        <f aca="false">CHOOSE(U21+1,IF(R21="Planejar revisão","Incluir no plano anual de revisão",IF(R21="Inativo","Sem ação","Monitorar")),"Revisar ou prorrogar validade","Confirmar status no NDocs","Acompanhar revisão","Concluir elaboração","Iniciar revisão (≤ 90 dias)","Validar aplicabilidade")</f>
        <v>Monitorar</v>
      </c>
      <c r="W21" s="116" t="n">
        <f aca="false">(OR(fArea="Todas",ISNUMBER(SEARCH(fArea,G21))))*(OR(fStatus="Todos",N21=fStatus))*(OR(fSit="Todas",R21=fSit))*(OR(fResp="Todos",P21=fResp))*(OR(fHor="Todos",S21=fHor))</f>
        <v>1</v>
      </c>
      <c r="X21" s="117" t="n">
        <f aca="false">IF(AND(W21=1,U21&gt;0),(7-U21)*100000+50000-IF(ISNUMBER(Q21),Q21,0)+ROW()/1000,0)</f>
        <v>0</v>
      </c>
      <c r="Y21" s="118" t="str">
        <f aca="false">UPPER(A21&amp;" "&amp;TRIM(SUBSTITUTE(C21,CHAR(160)," "))&amp;" "&amp;TRIM(SUBSTITUTE(D21,CHAR(160)," ")))</f>
        <v>BRK-INS-01-016208-PT IT 5020-00168 DETERMINAÇÃO DE UMIDADE POR COULOMETRIA</v>
      </c>
      <c r="Z21" s="118" t="str">
        <f aca="false">IF(qBusca="","",IF(ISNUMBER(SEARCH(TRIM(qBusca),Y21)),ROW(),""))</f>
        <v/>
      </c>
    </row>
    <row r="22" customFormat="false" ht="19.5" hidden="false" customHeight="true" outlineLevel="0" collapsed="false">
      <c r="A22" s="107" t="s">
        <v>244</v>
      </c>
      <c r="B22" s="108" t="s">
        <v>176</v>
      </c>
      <c r="C22" s="109" t="s">
        <v>245</v>
      </c>
      <c r="D22" s="109" t="s">
        <v>246</v>
      </c>
      <c r="E22" s="109" t="s">
        <v>162</v>
      </c>
      <c r="F22" s="110" t="n">
        <v>48008</v>
      </c>
      <c r="G22" s="108" t="s">
        <v>36</v>
      </c>
      <c r="H22" s="109"/>
      <c r="I22" s="109" t="s">
        <v>169</v>
      </c>
      <c r="J22" s="109" t="s">
        <v>247</v>
      </c>
      <c r="K22" s="109"/>
      <c r="L22" s="109" t="s">
        <v>248</v>
      </c>
      <c r="M22" s="108" t="n">
        <v>1</v>
      </c>
      <c r="N22" s="111" t="str">
        <f aca="false">IF(TRIM(SUBSTITUTE(E22,CHAR(160)," "))="Avaiação de uso","Avaliação de uso",IF(TRIM(SUBSTITUTE(E22,CHAR(160)," "))="Cancelada","Cancelado",TRIM(SUBSTITUTE(E22,CHAR(160)," "))))</f>
        <v>Aprovado</v>
      </c>
      <c r="O22" s="112" t="n">
        <f aca="false">IF(ISNUMBER(F22),F22,IFERROR(DATE(RIGHT(RIGHT(TRIM(F22),10),4),MID(RIGHT(TRIM(F22),10),4,2),LEFT(RIGHT(TRIM(F22),10),2)),""))</f>
        <v>48008</v>
      </c>
      <c r="P22" s="111" t="str">
        <f aca="false">PROPER(TRIM(SUBSTITUTE(I22,CHAR(160)," ")))</f>
        <v>Larissa Vicente Cardoso Guedes</v>
      </c>
      <c r="Q22" s="113" t="n">
        <f aca="false">IF(O22="","",O22-DataRef)</f>
        <v>1707</v>
      </c>
      <c r="R22" s="111" t="str">
        <f aca="false">IF(OR(N22="Cancelado",N22="Fora de Uso"),"Inativo",IF(OR(N22="Revisão",N22="Em Elaboração"),"Em tratamento",IF(OR(N22&lt;&gt;"Aprovado",O22=""),"Validar cadastro",IF(O22&lt;DataRef,"Ação imediata",IF(O22&lt;=EDATE(DataRef,12),"Planejar revisão","Regular")))))</f>
        <v>Regular</v>
      </c>
      <c r="S22" s="111" t="str">
        <f aca="false">IF(R22="Inativo","Inativo",IF(O22="","Sem validade",IF(O22&lt;DataRef,"Vencida",IF(O22&lt;=DataRef+90,"Até 90 dias",IF(O22&lt;=EDATE(DataRef,12),"91 dias a 12 meses","Após 12 meses")))))</f>
        <v>Após 12 meses</v>
      </c>
      <c r="T22" s="114" t="n">
        <f aca="false">IF(O22="","",DATE(YEAR(O22),MONTH(O22),1))</f>
        <v>48000</v>
      </c>
      <c r="U22" s="115" t="n">
        <f aca="false">IF(R22="Ação imediata",1,IF(N22="Não encontrado",2,IF(N22="Revisão",3,IF(N22="Em Elaboração",4,IF(S22="Até 90 dias",5,IF(R22="Validar cadastro",6,0))))))</f>
        <v>0</v>
      </c>
      <c r="V22" s="111" t="str">
        <f aca="false">CHOOSE(U22+1,IF(R22="Planejar revisão","Incluir no plano anual de revisão",IF(R22="Inativo","Sem ação","Monitorar")),"Revisar ou prorrogar validade","Confirmar status no NDocs","Acompanhar revisão","Concluir elaboração","Iniciar revisão (≤ 90 dias)","Validar aplicabilidade")</f>
        <v>Monitorar</v>
      </c>
      <c r="W22" s="116" t="n">
        <f aca="false">(OR(fArea="Todas",ISNUMBER(SEARCH(fArea,G22))))*(OR(fStatus="Todos",N22=fStatus))*(OR(fSit="Todas",R22=fSit))*(OR(fResp="Todos",P22=fResp))*(OR(fHor="Todos",S22=fHor))</f>
        <v>1</v>
      </c>
      <c r="X22" s="117" t="n">
        <f aca="false">IF(AND(W22=1,U22&gt;0),(7-U22)*100000+50000-IF(ISNUMBER(Q22),Q22,0)+ROW()/1000,0)</f>
        <v>0</v>
      </c>
      <c r="Y22" s="118" t="str">
        <f aca="false">UPPER(A22&amp;" "&amp;TRIM(SUBSTITUTE(C22,CHAR(160)," "))&amp;" "&amp;TRIM(SUBSTITUTE(D22,CHAR(160)," ")))</f>
        <v>BRK-INS-01-016220-PT IT 5020-00170 DETERMINAÇÃO DA DENSIDADE ABSOLUTA E RELATIVA PELO DENSIMETRO DIGITAL</v>
      </c>
      <c r="Z22" s="118" t="str">
        <f aca="false">IF(qBusca="","",IF(ISNUMBER(SEARCH(TRIM(qBusca),Y22)),ROW(),""))</f>
        <v/>
      </c>
    </row>
    <row r="23" customFormat="false" ht="19.5" hidden="false" customHeight="true" outlineLevel="0" collapsed="false">
      <c r="A23" s="107" t="s">
        <v>249</v>
      </c>
      <c r="B23" s="108" t="s">
        <v>250</v>
      </c>
      <c r="C23" s="109" t="s">
        <v>251</v>
      </c>
      <c r="D23" s="109" t="s">
        <v>252</v>
      </c>
      <c r="E23" s="109" t="s">
        <v>253</v>
      </c>
      <c r="F23" s="110" t="n">
        <v>45706</v>
      </c>
      <c r="G23" s="108" t="s">
        <v>36</v>
      </c>
      <c r="H23" s="109"/>
      <c r="I23" s="109" t="s">
        <v>163</v>
      </c>
      <c r="J23" s="109"/>
      <c r="K23" s="109"/>
      <c r="L23" s="109" t="s">
        <v>254</v>
      </c>
      <c r="M23" s="108" t="n">
        <v>1</v>
      </c>
      <c r="N23" s="111" t="str">
        <f aca="false">IF(TRIM(SUBSTITUTE(E23,CHAR(160)," "))="Avaiação de uso","Avaliação de uso",IF(TRIM(SUBSTITUTE(E23,CHAR(160)," "))="Cancelada","Cancelado",TRIM(SUBSTITUTE(E23,CHAR(160)," "))))</f>
        <v>Não encontrado</v>
      </c>
      <c r="O23" s="112" t="n">
        <f aca="false">IF(ISNUMBER(F23),F23,IFERROR(DATE(RIGHT(RIGHT(TRIM(F23),10),4),MID(RIGHT(TRIM(F23),10),4,2),LEFT(RIGHT(TRIM(F23),10),2)),""))</f>
        <v>45706</v>
      </c>
      <c r="P23" s="111" t="str">
        <f aca="false">PROPER(TRIM(SUBSTITUTE(I23,CHAR(160)," ")))</f>
        <v>Ana Carla Da Cruz Araujo</v>
      </c>
      <c r="Q23" s="113" t="n">
        <f aca="false">IF(O23="","",O23-DataRef)</f>
        <v>-595</v>
      </c>
      <c r="R23" s="111" t="str">
        <f aca="false">IF(OR(N23="Cancelado",N23="Fora de Uso"),"Inativo",IF(OR(N23="Revisão",N23="Em Elaboração"),"Em tratamento",IF(OR(N23&lt;&gt;"Aprovado",O23=""),"Validar cadastro",IF(O23&lt;DataRef,"Ação imediata",IF(O23&lt;=EDATE(DataRef,12),"Planejar revisão","Regular")))))</f>
        <v>Validar cadastro</v>
      </c>
      <c r="S23" s="111" t="str">
        <f aca="false">IF(R23="Inativo","Inativo",IF(O23="","Sem validade",IF(O23&lt;DataRef,"Vencida",IF(O23&lt;=DataRef+90,"Até 90 dias",IF(O23&lt;=EDATE(DataRef,12),"91 dias a 12 meses","Após 12 meses")))))</f>
        <v>Vencida</v>
      </c>
      <c r="T23" s="114" t="n">
        <f aca="false">IF(O23="","",DATE(YEAR(O23),MONTH(O23),1))</f>
        <v>45689</v>
      </c>
      <c r="U23" s="115" t="n">
        <f aca="false">IF(R23="Ação imediata",1,IF(N23="Não encontrado",2,IF(N23="Revisão",3,IF(N23="Em Elaboração",4,IF(S23="Até 90 dias",5,IF(R23="Validar cadastro",6,0))))))</f>
        <v>2</v>
      </c>
      <c r="V23" s="111" t="str">
        <f aca="false">CHOOSE(U23+1,IF(R23="Planejar revisão","Incluir no plano anual de revisão",IF(R23="Inativo","Sem ação","Monitorar")),"Revisar ou prorrogar validade","Confirmar status no NDocs","Acompanhar revisão","Concluir elaboração","Iniciar revisão (≤ 90 dias)","Validar aplicabilidade")</f>
        <v>Confirmar status no NDocs</v>
      </c>
      <c r="W23" s="116" t="n">
        <f aca="false">(OR(fArea="Todas",ISNUMBER(SEARCH(fArea,G23))))*(OR(fStatus="Todos",N23=fStatus))*(OR(fSit="Todas",R23=fSit))*(OR(fResp="Todos",P23=fResp))*(OR(fHor="Todos",S23=fHor))</f>
        <v>1</v>
      </c>
      <c r="X23" s="117" t="n">
        <f aca="false">IF(AND(W23=1,U23&gt;0),(7-U23)*100000+50000-IF(ISNUMBER(Q23),Q23,0)+ROW()/1000,0)</f>
        <v>550595.023</v>
      </c>
      <c r="Y23" s="118" t="str">
        <f aca="false">UPPER(A23&amp;" "&amp;TRIM(SUBSTITUTE(C23,CHAR(160)," "))&amp;" "&amp;TRIM(SUBSTITUTE(D23,CHAR(160)," ")))</f>
        <v>BRK-INS-01-016228-PT IT 5020-00172 DETERMINAÇÃO DE CARBONO ORGÂNICO TOTAL (TOC)</v>
      </c>
      <c r="Z23" s="118" t="str">
        <f aca="false">IF(qBusca="","",IF(ISNUMBER(SEARCH(TRIM(qBusca),Y23)),ROW(),""))</f>
        <v/>
      </c>
    </row>
    <row r="24" customFormat="false" ht="19.5" hidden="false" customHeight="true" outlineLevel="0" collapsed="false">
      <c r="A24" s="107" t="s">
        <v>255</v>
      </c>
      <c r="B24" s="108" t="s">
        <v>159</v>
      </c>
      <c r="C24" s="109" t="s">
        <v>256</v>
      </c>
      <c r="D24" s="109" t="s">
        <v>257</v>
      </c>
      <c r="E24" s="109" t="s">
        <v>162</v>
      </c>
      <c r="F24" s="110" t="n">
        <v>48104</v>
      </c>
      <c r="G24" s="108" t="s">
        <v>111</v>
      </c>
      <c r="H24" s="109"/>
      <c r="I24" s="109" t="s">
        <v>258</v>
      </c>
      <c r="J24" s="109"/>
      <c r="K24" s="109"/>
      <c r="L24" s="109" t="s">
        <v>259</v>
      </c>
      <c r="M24" s="108" t="n">
        <v>2</v>
      </c>
      <c r="N24" s="111" t="str">
        <f aca="false">IF(TRIM(SUBSTITUTE(E24,CHAR(160)," "))="Avaiação de uso","Avaliação de uso",IF(TRIM(SUBSTITUTE(E24,CHAR(160)," "))="Cancelada","Cancelado",TRIM(SUBSTITUTE(E24,CHAR(160)," "))))</f>
        <v>Aprovado</v>
      </c>
      <c r="O24" s="112" t="n">
        <f aca="false">IF(ISNUMBER(F24),F24,IFERROR(DATE(RIGHT(RIGHT(TRIM(F24),10),4),MID(RIGHT(TRIM(F24),10),4,2),LEFT(RIGHT(TRIM(F24),10),2)),""))</f>
        <v>48104</v>
      </c>
      <c r="P24" s="111" t="str">
        <f aca="false">PROPER(TRIM(SUBSTITUTE(I24,CHAR(160)," ")))</f>
        <v>Ana Claudia Sergio De Oliveira</v>
      </c>
      <c r="Q24" s="113" t="n">
        <f aca="false">IF(O24="","",O24-DataRef)</f>
        <v>1803</v>
      </c>
      <c r="R24" s="111" t="str">
        <f aca="false">IF(OR(N24="Cancelado",N24="Fora de Uso"),"Inativo",IF(OR(N24="Revisão",N24="Em Elaboração"),"Em tratamento",IF(OR(N24&lt;&gt;"Aprovado",O24=""),"Validar cadastro",IF(O24&lt;DataRef,"Ação imediata",IF(O24&lt;=EDATE(DataRef,12),"Planejar revisão","Regular")))))</f>
        <v>Regular</v>
      </c>
      <c r="S24" s="111" t="str">
        <f aca="false">IF(R24="Inativo","Inativo",IF(O24="","Sem validade",IF(O24&lt;DataRef,"Vencida",IF(O24&lt;=DataRef+90,"Até 90 dias",IF(O24&lt;=EDATE(DataRef,12),"91 dias a 12 meses","Após 12 meses")))))</f>
        <v>Após 12 meses</v>
      </c>
      <c r="T24" s="114" t="n">
        <f aca="false">IF(O24="","",DATE(YEAR(O24),MONTH(O24),1))</f>
        <v>48092</v>
      </c>
      <c r="U24" s="115" t="n">
        <f aca="false">IF(R24="Ação imediata",1,IF(N24="Não encontrado",2,IF(N24="Revisão",3,IF(N24="Em Elaboração",4,IF(S24="Até 90 dias",5,IF(R24="Validar cadastro",6,0))))))</f>
        <v>0</v>
      </c>
      <c r="V24" s="111" t="str">
        <f aca="false">CHOOSE(U24+1,IF(R24="Planejar revisão","Incluir no plano anual de revisão",IF(R24="Inativo","Sem ação","Monitorar")),"Revisar ou prorrogar validade","Confirmar status no NDocs","Acompanhar revisão","Concluir elaboração","Iniciar revisão (≤ 90 dias)","Validar aplicabilidade")</f>
        <v>Monitorar</v>
      </c>
      <c r="W24" s="116" t="n">
        <f aca="false">(OR(fArea="Todas",ISNUMBER(SEARCH(fArea,G24))))*(OR(fStatus="Todos",N24=fStatus))*(OR(fSit="Todas",R24=fSit))*(OR(fResp="Todos",P24=fResp))*(OR(fHor="Todos",S24=fHor))</f>
        <v>1</v>
      </c>
      <c r="X24" s="117" t="n">
        <f aca="false">IF(AND(W24=1,U24&gt;0),(7-U24)*100000+50000-IF(ISNUMBER(Q24),Q24,0)+ROW()/1000,0)</f>
        <v>0</v>
      </c>
      <c r="Y24" s="118" t="str">
        <f aca="false">UPPER(A24&amp;" "&amp;TRIM(SUBSTITUTE(C24,CHAR(160)," "))&amp;" "&amp;TRIM(SUBSTITUTE(D24,CHAR(160)," ")))</f>
        <v>BRK-INS-01-016238-PT IT 5020-00175 DETERMINAÇÃO DE OXIGÊNIO EM GASES POR TELEDYNE</v>
      </c>
      <c r="Z24" s="118" t="n">
        <f aca="false">IF(qBusca="","",IF(ISNUMBER(SEARCH(TRIM(qBusca),Y24)),ROW(),""))</f>
        <v>24</v>
      </c>
    </row>
    <row r="25" customFormat="false" ht="19.5" hidden="false" customHeight="true" outlineLevel="0" collapsed="false">
      <c r="A25" s="107" t="s">
        <v>260</v>
      </c>
      <c r="B25" s="108" t="s">
        <v>176</v>
      </c>
      <c r="C25" s="109" t="s">
        <v>261</v>
      </c>
      <c r="D25" s="109" t="s">
        <v>262</v>
      </c>
      <c r="E25" s="109" t="s">
        <v>162</v>
      </c>
      <c r="F25" s="110" t="n">
        <v>46731</v>
      </c>
      <c r="G25" s="108" t="s">
        <v>36</v>
      </c>
      <c r="H25" s="109"/>
      <c r="I25" s="109" t="s">
        <v>163</v>
      </c>
      <c r="J25" s="109"/>
      <c r="K25" s="109"/>
      <c r="L25" s="109" t="s">
        <v>263</v>
      </c>
      <c r="M25" s="108" t="n">
        <v>1</v>
      </c>
      <c r="N25" s="111" t="str">
        <f aca="false">IF(TRIM(SUBSTITUTE(E25,CHAR(160)," "))="Avaiação de uso","Avaliação de uso",IF(TRIM(SUBSTITUTE(E25,CHAR(160)," "))="Cancelada","Cancelado",TRIM(SUBSTITUTE(E25,CHAR(160)," "))))</f>
        <v>Aprovado</v>
      </c>
      <c r="O25" s="112" t="n">
        <f aca="false">IF(ISNUMBER(F25),F25,IFERROR(DATE(RIGHT(RIGHT(TRIM(F25),10),4),MID(RIGHT(TRIM(F25),10),4,2),LEFT(RIGHT(TRIM(F25),10),2)),""))</f>
        <v>46731</v>
      </c>
      <c r="P25" s="111" t="str">
        <f aca="false">PROPER(TRIM(SUBSTITUTE(I25,CHAR(160)," ")))</f>
        <v>Ana Carla Da Cruz Araujo</v>
      </c>
      <c r="Q25" s="113" t="n">
        <f aca="false">IF(O25="","",O25-DataRef)</f>
        <v>430</v>
      </c>
      <c r="R25" s="111" t="str">
        <f aca="false">IF(OR(N25="Cancelado",N25="Fora de Uso"),"Inativo",IF(OR(N25="Revisão",N25="Em Elaboração"),"Em tratamento",IF(OR(N25&lt;&gt;"Aprovado",O25=""),"Validar cadastro",IF(O25&lt;DataRef,"Ação imediata",IF(O25&lt;=EDATE(DataRef,12),"Planejar revisão","Regular")))))</f>
        <v>Regular</v>
      </c>
      <c r="S25" s="111" t="str">
        <f aca="false">IF(R25="Inativo","Inativo",IF(O25="","Sem validade",IF(O25&lt;DataRef,"Vencida",IF(O25&lt;=DataRef+90,"Até 90 dias",IF(O25&lt;=EDATE(DataRef,12),"91 dias a 12 meses","Após 12 meses")))))</f>
        <v>Após 12 meses</v>
      </c>
      <c r="T25" s="114" t="n">
        <f aca="false">IF(O25="","",DATE(YEAR(O25),MONTH(O25),1))</f>
        <v>46722</v>
      </c>
      <c r="U25" s="115" t="n">
        <f aca="false">IF(R25="Ação imediata",1,IF(N25="Não encontrado",2,IF(N25="Revisão",3,IF(N25="Em Elaboração",4,IF(S25="Até 90 dias",5,IF(R25="Validar cadastro",6,0))))))</f>
        <v>0</v>
      </c>
      <c r="V25" s="111" t="str">
        <f aca="false">CHOOSE(U25+1,IF(R25="Planejar revisão","Incluir no plano anual de revisão",IF(R25="Inativo","Sem ação","Monitorar")),"Revisar ou prorrogar validade","Confirmar status no NDocs","Acompanhar revisão","Concluir elaboração","Iniciar revisão (≤ 90 dias)","Validar aplicabilidade")</f>
        <v>Monitorar</v>
      </c>
      <c r="W25" s="116" t="n">
        <f aca="false">(OR(fArea="Todas",ISNUMBER(SEARCH(fArea,G25))))*(OR(fStatus="Todos",N25=fStatus))*(OR(fSit="Todas",R25=fSit))*(OR(fResp="Todos",P25=fResp))*(OR(fHor="Todos",S25=fHor))</f>
        <v>1</v>
      </c>
      <c r="X25" s="117" t="n">
        <f aca="false">IF(AND(W25=1,U25&gt;0),(7-U25)*100000+50000-IF(ISNUMBER(Q25),Q25,0)+ROW()/1000,0)</f>
        <v>0</v>
      </c>
      <c r="Y25" s="118" t="str">
        <f aca="false">UPPER(A25&amp;" "&amp;TRIM(SUBSTITUTE(C25,CHAR(160)," "))&amp;" "&amp;TRIM(SUBSTITUTE(D25,CHAR(160)," ")))</f>
        <v>BRK-INS-01-016250-PT IT 5020-00178 DETERMINAÇÃO DA COMPOSIÇÃO DA GASOLINA DE PIRÓLISE POR CROMATOGRAFIA EM FASE GASOSA</v>
      </c>
      <c r="Z25" s="118" t="str">
        <f aca="false">IF(qBusca="","",IF(ISNUMBER(SEARCH(TRIM(qBusca),Y25)),ROW(),""))</f>
        <v/>
      </c>
    </row>
    <row r="26" customFormat="false" ht="19.5" hidden="false" customHeight="true" outlineLevel="0" collapsed="false">
      <c r="A26" s="107" t="s">
        <v>264</v>
      </c>
      <c r="B26" s="108" t="s">
        <v>191</v>
      </c>
      <c r="C26" s="109" t="s">
        <v>265</v>
      </c>
      <c r="D26" s="109" t="s">
        <v>266</v>
      </c>
      <c r="E26" s="109" t="s">
        <v>162</v>
      </c>
      <c r="F26" s="110" t="n">
        <v>48014</v>
      </c>
      <c r="G26" s="108" t="s">
        <v>36</v>
      </c>
      <c r="H26" s="109"/>
      <c r="I26" s="109" t="s">
        <v>169</v>
      </c>
      <c r="J26" s="109"/>
      <c r="K26" s="109"/>
      <c r="L26" s="109" t="s">
        <v>267</v>
      </c>
      <c r="M26" s="108" t="n">
        <v>1</v>
      </c>
      <c r="N26" s="111" t="str">
        <f aca="false">IF(TRIM(SUBSTITUTE(E26,CHAR(160)," "))="Avaiação de uso","Avaliação de uso",IF(TRIM(SUBSTITUTE(E26,CHAR(160)," "))="Cancelada","Cancelado",TRIM(SUBSTITUTE(E26,CHAR(160)," "))))</f>
        <v>Aprovado</v>
      </c>
      <c r="O26" s="112" t="n">
        <f aca="false">IF(ISNUMBER(F26),F26,IFERROR(DATE(RIGHT(RIGHT(TRIM(F26),10),4),MID(RIGHT(TRIM(F26),10),4,2),LEFT(RIGHT(TRIM(F26),10),2)),""))</f>
        <v>48014</v>
      </c>
      <c r="P26" s="111" t="str">
        <f aca="false">PROPER(TRIM(SUBSTITUTE(I26,CHAR(160)," ")))</f>
        <v>Larissa Vicente Cardoso Guedes</v>
      </c>
      <c r="Q26" s="113" t="n">
        <f aca="false">IF(O26="","",O26-DataRef)</f>
        <v>1713</v>
      </c>
      <c r="R26" s="111" t="str">
        <f aca="false">IF(OR(N26="Cancelado",N26="Fora de Uso"),"Inativo",IF(OR(N26="Revisão",N26="Em Elaboração"),"Em tratamento",IF(OR(N26&lt;&gt;"Aprovado",O26=""),"Validar cadastro",IF(O26&lt;DataRef,"Ação imediata",IF(O26&lt;=EDATE(DataRef,12),"Planejar revisão","Regular")))))</f>
        <v>Regular</v>
      </c>
      <c r="S26" s="111" t="str">
        <f aca="false">IF(R26="Inativo","Inativo",IF(O26="","Sem validade",IF(O26&lt;DataRef,"Vencida",IF(O26&lt;=DataRef+90,"Até 90 dias",IF(O26&lt;=EDATE(DataRef,12),"91 dias a 12 meses","Após 12 meses")))))</f>
        <v>Após 12 meses</v>
      </c>
      <c r="T26" s="114" t="n">
        <f aca="false">IF(O26="","",DATE(YEAR(O26),MONTH(O26),1))</f>
        <v>48000</v>
      </c>
      <c r="U26" s="115" t="n">
        <f aca="false">IF(R26="Ação imediata",1,IF(N26="Não encontrado",2,IF(N26="Revisão",3,IF(N26="Em Elaboração",4,IF(S26="Até 90 dias",5,IF(R26="Validar cadastro",6,0))))))</f>
        <v>0</v>
      </c>
      <c r="V26" s="111" t="str">
        <f aca="false">CHOOSE(U26+1,IF(R26="Planejar revisão","Incluir no plano anual de revisão",IF(R26="Inativo","Sem ação","Monitorar")),"Revisar ou prorrogar validade","Confirmar status no NDocs","Acompanhar revisão","Concluir elaboração","Iniciar revisão (≤ 90 dias)","Validar aplicabilidade")</f>
        <v>Monitorar</v>
      </c>
      <c r="W26" s="116" t="n">
        <f aca="false">(OR(fArea="Todas",ISNUMBER(SEARCH(fArea,G26))))*(OR(fStatus="Todos",N26=fStatus))*(OR(fSit="Todas",R26=fSit))*(OR(fResp="Todos",P26=fResp))*(OR(fHor="Todos",S26=fHor))</f>
        <v>1</v>
      </c>
      <c r="X26" s="117" t="n">
        <f aca="false">IF(AND(W26=1,U26&gt;0),(7-U26)*100000+50000-IF(ISNUMBER(Q26),Q26,0)+ROW()/1000,0)</f>
        <v>0</v>
      </c>
      <c r="Y26" s="118" t="str">
        <f aca="false">UPPER(A26&amp;" "&amp;TRIM(SUBSTITUTE(C26,CHAR(160)," "))&amp;" "&amp;TRIM(SUBSTITUTE(D26,CHAR(160)," ")))</f>
        <v>BRK-INS-01-016256-PT IT 5020-00179 DETERMINAÇÃO DA COMPOSIÇÃO DE C4 PRODUTO POR CROMATOGRAFIA EM FASE GASOSA</v>
      </c>
      <c r="Z26" s="118" t="str">
        <f aca="false">IF(qBusca="","",IF(ISNUMBER(SEARCH(TRIM(qBusca),Y26)),ROW(),""))</f>
        <v/>
      </c>
    </row>
    <row r="27" customFormat="false" ht="19.5" hidden="false" customHeight="true" outlineLevel="0" collapsed="false">
      <c r="A27" s="107" t="s">
        <v>268</v>
      </c>
      <c r="B27" s="108" t="s">
        <v>176</v>
      </c>
      <c r="C27" s="109" t="s">
        <v>269</v>
      </c>
      <c r="D27" s="109" t="s">
        <v>270</v>
      </c>
      <c r="E27" s="109" t="s">
        <v>162</v>
      </c>
      <c r="F27" s="110" t="n">
        <v>46731</v>
      </c>
      <c r="G27" s="108" t="s">
        <v>36</v>
      </c>
      <c r="H27" s="109"/>
      <c r="I27" s="109" t="s">
        <v>163</v>
      </c>
      <c r="J27" s="109"/>
      <c r="K27" s="109"/>
      <c r="L27" s="109" t="s">
        <v>271</v>
      </c>
      <c r="M27" s="108" t="n">
        <v>1</v>
      </c>
      <c r="N27" s="111" t="str">
        <f aca="false">IF(TRIM(SUBSTITUTE(E27,CHAR(160)," "))="Avaiação de uso","Avaliação de uso",IF(TRIM(SUBSTITUTE(E27,CHAR(160)," "))="Cancelada","Cancelado",TRIM(SUBSTITUTE(E27,CHAR(160)," "))))</f>
        <v>Aprovado</v>
      </c>
      <c r="O27" s="112" t="n">
        <f aca="false">IF(ISNUMBER(F27),F27,IFERROR(DATE(RIGHT(RIGHT(TRIM(F27),10),4),MID(RIGHT(TRIM(F27),10),4,2),LEFT(RIGHT(TRIM(F27),10),2)),""))</f>
        <v>46731</v>
      </c>
      <c r="P27" s="111" t="str">
        <f aca="false">PROPER(TRIM(SUBSTITUTE(I27,CHAR(160)," ")))</f>
        <v>Ana Carla Da Cruz Araujo</v>
      </c>
      <c r="Q27" s="113" t="n">
        <f aca="false">IF(O27="","",O27-DataRef)</f>
        <v>430</v>
      </c>
      <c r="R27" s="111" t="str">
        <f aca="false">IF(OR(N27="Cancelado",N27="Fora de Uso"),"Inativo",IF(OR(N27="Revisão",N27="Em Elaboração"),"Em tratamento",IF(OR(N27&lt;&gt;"Aprovado",O27=""),"Validar cadastro",IF(O27&lt;DataRef,"Ação imediata",IF(O27&lt;=EDATE(DataRef,12),"Planejar revisão","Regular")))))</f>
        <v>Regular</v>
      </c>
      <c r="S27" s="111" t="str">
        <f aca="false">IF(R27="Inativo","Inativo",IF(O27="","Sem validade",IF(O27&lt;DataRef,"Vencida",IF(O27&lt;=DataRef+90,"Até 90 dias",IF(O27&lt;=EDATE(DataRef,12),"91 dias a 12 meses","Após 12 meses")))))</f>
        <v>Após 12 meses</v>
      </c>
      <c r="T27" s="114" t="n">
        <f aca="false">IF(O27="","",DATE(YEAR(O27),MONTH(O27),1))</f>
        <v>46722</v>
      </c>
      <c r="U27" s="115" t="n">
        <f aca="false">IF(R27="Ação imediata",1,IF(N27="Não encontrado",2,IF(N27="Revisão",3,IF(N27="Em Elaboração",4,IF(S27="Até 90 dias",5,IF(R27="Validar cadastro",6,0))))))</f>
        <v>0</v>
      </c>
      <c r="V27" s="111" t="str">
        <f aca="false">CHOOSE(U27+1,IF(R27="Planejar revisão","Incluir no plano anual de revisão",IF(R27="Inativo","Sem ação","Monitorar")),"Revisar ou prorrogar validade","Confirmar status no NDocs","Acompanhar revisão","Concluir elaboração","Iniciar revisão (≤ 90 dias)","Validar aplicabilidade")</f>
        <v>Monitorar</v>
      </c>
      <c r="W27" s="116" t="n">
        <f aca="false">(OR(fArea="Todas",ISNUMBER(SEARCH(fArea,G27))))*(OR(fStatus="Todos",N27=fStatus))*(OR(fSit="Todas",R27=fSit))*(OR(fResp="Todos",P27=fResp))*(OR(fHor="Todos",S27=fHor))</f>
        <v>1</v>
      </c>
      <c r="X27" s="117" t="n">
        <f aca="false">IF(AND(W27=1,U27&gt;0),(7-U27)*100000+50000-IF(ISNUMBER(Q27),Q27,0)+ROW()/1000,0)</f>
        <v>0</v>
      </c>
      <c r="Y27" s="118" t="str">
        <f aca="false">UPPER(A27&amp;" "&amp;TRIM(SUBSTITUTE(C27,CHAR(160)," "))&amp;" "&amp;TRIM(SUBSTITUTE(D27,CHAR(160)," ")))</f>
        <v>BRK-INS-01-016263-PT IT 5020-00180 DETERMINAÇÃO DA COMPOSIÇÃO DE C9 AROMÁTICO POR CROMATOGRAFIA EM FASE GASOSA</v>
      </c>
      <c r="Z27" s="118" t="str">
        <f aca="false">IF(qBusca="","",IF(ISNUMBER(SEARCH(TRIM(qBusca),Y27)),ROW(),""))</f>
        <v/>
      </c>
    </row>
    <row r="28" customFormat="false" ht="19.5" hidden="false" customHeight="true" outlineLevel="0" collapsed="false">
      <c r="A28" s="107" t="s">
        <v>272</v>
      </c>
      <c r="B28" s="108" t="s">
        <v>176</v>
      </c>
      <c r="C28" s="109" t="s">
        <v>273</v>
      </c>
      <c r="D28" s="109" t="s">
        <v>274</v>
      </c>
      <c r="E28" s="109" t="s">
        <v>162</v>
      </c>
      <c r="F28" s="110" t="n">
        <v>48106</v>
      </c>
      <c r="G28" s="108" t="s">
        <v>36</v>
      </c>
      <c r="H28" s="109"/>
      <c r="I28" s="109" t="s">
        <v>169</v>
      </c>
      <c r="J28" s="109"/>
      <c r="K28" s="109"/>
      <c r="L28" s="109" t="s">
        <v>275</v>
      </c>
      <c r="M28" s="108" t="n">
        <v>1</v>
      </c>
      <c r="N28" s="111" t="str">
        <f aca="false">IF(TRIM(SUBSTITUTE(E28,CHAR(160)," "))="Avaiação de uso","Avaliação de uso",IF(TRIM(SUBSTITUTE(E28,CHAR(160)," "))="Cancelada","Cancelado",TRIM(SUBSTITUTE(E28,CHAR(160)," "))))</f>
        <v>Aprovado</v>
      </c>
      <c r="O28" s="112" t="n">
        <f aca="false">IF(ISNUMBER(F28),F28,IFERROR(DATE(RIGHT(RIGHT(TRIM(F28),10),4),MID(RIGHT(TRIM(F28),10),4,2),LEFT(RIGHT(TRIM(F28),10),2)),""))</f>
        <v>48106</v>
      </c>
      <c r="P28" s="111" t="str">
        <f aca="false">PROPER(TRIM(SUBSTITUTE(I28,CHAR(160)," ")))</f>
        <v>Larissa Vicente Cardoso Guedes</v>
      </c>
      <c r="Q28" s="113" t="n">
        <f aca="false">IF(O28="","",O28-DataRef)</f>
        <v>1805</v>
      </c>
      <c r="R28" s="111" t="str">
        <f aca="false">IF(OR(N28="Cancelado",N28="Fora de Uso"),"Inativo",IF(OR(N28="Revisão",N28="Em Elaboração"),"Em tratamento",IF(OR(N28&lt;&gt;"Aprovado",O28=""),"Validar cadastro",IF(O28&lt;DataRef,"Ação imediata",IF(O28&lt;=EDATE(DataRef,12),"Planejar revisão","Regular")))))</f>
        <v>Regular</v>
      </c>
      <c r="S28" s="111" t="str">
        <f aca="false">IF(R28="Inativo","Inativo",IF(O28="","Sem validade",IF(O28&lt;DataRef,"Vencida",IF(O28&lt;=DataRef+90,"Até 90 dias",IF(O28&lt;=EDATE(DataRef,12),"91 dias a 12 meses","Após 12 meses")))))</f>
        <v>Após 12 meses</v>
      </c>
      <c r="T28" s="114" t="n">
        <f aca="false">IF(O28="","",DATE(YEAR(O28),MONTH(O28),1))</f>
        <v>48092</v>
      </c>
      <c r="U28" s="115" t="n">
        <f aca="false">IF(R28="Ação imediata",1,IF(N28="Não encontrado",2,IF(N28="Revisão",3,IF(N28="Em Elaboração",4,IF(S28="Até 90 dias",5,IF(R28="Validar cadastro",6,0))))))</f>
        <v>0</v>
      </c>
      <c r="V28" s="111" t="str">
        <f aca="false">CHOOSE(U28+1,IF(R28="Planejar revisão","Incluir no plano anual de revisão",IF(R28="Inativo","Sem ação","Monitorar")),"Revisar ou prorrogar validade","Confirmar status no NDocs","Acompanhar revisão","Concluir elaboração","Iniciar revisão (≤ 90 dias)","Validar aplicabilidade")</f>
        <v>Monitorar</v>
      </c>
      <c r="W28" s="116" t="n">
        <f aca="false">(OR(fArea="Todas",ISNUMBER(SEARCH(fArea,G28))))*(OR(fStatus="Todos",N28=fStatus))*(OR(fSit="Todas",R28=fSit))*(OR(fResp="Todos",P28=fResp))*(OR(fHor="Todos",S28=fHor))</f>
        <v>1</v>
      </c>
      <c r="X28" s="117" t="n">
        <f aca="false">IF(AND(W28=1,U28&gt;0),(7-U28)*100000+50000-IF(ISNUMBER(Q28),Q28,0)+ROW()/1000,0)</f>
        <v>0</v>
      </c>
      <c r="Y28" s="118" t="str">
        <f aca="false">UPPER(A28&amp;" "&amp;TRIM(SUBSTITUTE(C28,CHAR(160)," "))&amp;" "&amp;TRIM(SUBSTITUTE(D28,CHAR(160)," ")))</f>
        <v>BRK-INS-01-016278-PT IT 5020-00186 DETERMINAÇÃO DE HIDROCARBONETOS CONTAMINANTES EM PROPANO FRESCO POR CROMATOGRAFIA EM FASE GASOSA</v>
      </c>
      <c r="Z28" s="118" t="str">
        <f aca="false">IF(qBusca="","",IF(ISNUMBER(SEARCH(TRIM(qBusca),Y28)),ROW(),""))</f>
        <v/>
      </c>
    </row>
    <row r="29" customFormat="false" ht="19.5" hidden="false" customHeight="true" outlineLevel="0" collapsed="false">
      <c r="A29" s="107" t="s">
        <v>276</v>
      </c>
      <c r="B29" s="108" t="s">
        <v>159</v>
      </c>
      <c r="C29" s="109" t="s">
        <v>277</v>
      </c>
      <c r="D29" s="109" t="s">
        <v>278</v>
      </c>
      <c r="E29" s="109" t="s">
        <v>162</v>
      </c>
      <c r="F29" s="110" t="n">
        <v>46907</v>
      </c>
      <c r="G29" s="108" t="s">
        <v>36</v>
      </c>
      <c r="H29" s="109"/>
      <c r="I29" s="109" t="s">
        <v>163</v>
      </c>
      <c r="J29" s="109" t="s">
        <v>279</v>
      </c>
      <c r="K29" s="109"/>
      <c r="L29" s="109" t="s">
        <v>280</v>
      </c>
      <c r="M29" s="108" t="n">
        <v>1</v>
      </c>
      <c r="N29" s="111" t="str">
        <f aca="false">IF(TRIM(SUBSTITUTE(E29,CHAR(160)," "))="Avaiação de uso","Avaliação de uso",IF(TRIM(SUBSTITUTE(E29,CHAR(160)," "))="Cancelada","Cancelado",TRIM(SUBSTITUTE(E29,CHAR(160)," "))))</f>
        <v>Aprovado</v>
      </c>
      <c r="O29" s="112" t="n">
        <f aca="false">IF(ISNUMBER(F29),F29,IFERROR(DATE(RIGHT(RIGHT(TRIM(F29),10),4),MID(RIGHT(TRIM(F29),10),4,2),LEFT(RIGHT(TRIM(F29),10),2)),""))</f>
        <v>46907</v>
      </c>
      <c r="P29" s="111" t="str">
        <f aca="false">PROPER(TRIM(SUBSTITUTE(I29,CHAR(160)," ")))</f>
        <v>Ana Carla Da Cruz Araujo</v>
      </c>
      <c r="Q29" s="113" t="n">
        <f aca="false">IF(O29="","",O29-DataRef)</f>
        <v>606</v>
      </c>
      <c r="R29" s="111" t="str">
        <f aca="false">IF(OR(N29="Cancelado",N29="Fora de Uso"),"Inativo",IF(OR(N29="Revisão",N29="Em Elaboração"),"Em tratamento",IF(OR(N29&lt;&gt;"Aprovado",O29=""),"Validar cadastro",IF(O29&lt;DataRef,"Ação imediata",IF(O29&lt;=EDATE(DataRef,12),"Planejar revisão","Regular")))))</f>
        <v>Regular</v>
      </c>
      <c r="S29" s="111" t="str">
        <f aca="false">IF(R29="Inativo","Inativo",IF(O29="","Sem validade",IF(O29&lt;DataRef,"Vencida",IF(O29&lt;=DataRef+90,"Até 90 dias",IF(O29&lt;=EDATE(DataRef,12),"91 dias a 12 meses","Após 12 meses")))))</f>
        <v>Após 12 meses</v>
      </c>
      <c r="T29" s="114" t="n">
        <f aca="false">IF(O29="","",DATE(YEAR(O29),MONTH(O29),1))</f>
        <v>46905</v>
      </c>
      <c r="U29" s="115" t="n">
        <f aca="false">IF(R29="Ação imediata",1,IF(N29="Não encontrado",2,IF(N29="Revisão",3,IF(N29="Em Elaboração",4,IF(S29="Até 90 dias",5,IF(R29="Validar cadastro",6,0))))))</f>
        <v>0</v>
      </c>
      <c r="V29" s="111" t="str">
        <f aca="false">CHOOSE(U29+1,IF(R29="Planejar revisão","Incluir no plano anual de revisão",IF(R29="Inativo","Sem ação","Monitorar")),"Revisar ou prorrogar validade","Confirmar status no NDocs","Acompanhar revisão","Concluir elaboração","Iniciar revisão (≤ 90 dias)","Validar aplicabilidade")</f>
        <v>Monitorar</v>
      </c>
      <c r="W29" s="116" t="n">
        <f aca="false">(OR(fArea="Todas",ISNUMBER(SEARCH(fArea,G29))))*(OR(fStatus="Todos",N29=fStatus))*(OR(fSit="Todas",R29=fSit))*(OR(fResp="Todos",P29=fResp))*(OR(fHor="Todos",S29=fHor))</f>
        <v>1</v>
      </c>
      <c r="X29" s="117" t="n">
        <f aca="false">IF(AND(W29=1,U29&gt;0),(7-U29)*100000+50000-IF(ISNUMBER(Q29),Q29,0)+ROW()/1000,0)</f>
        <v>0</v>
      </c>
      <c r="Y29" s="118" t="str">
        <f aca="false">UPPER(A29&amp;" "&amp;TRIM(SUBSTITUTE(C29,CHAR(160)," "))&amp;" "&amp;TRIM(SUBSTITUTE(D29,CHAR(160)," ")))</f>
        <v>BRK-INS-01-016287-PT IT 5020-00189 DETERMINAÇÃO DE HIDROCARBONETOS RESIDUAIS E VOLÁTEIS EM RESINA DE POLIETILENO POR CROMATOGRAFIA EM FASE GASOSA</v>
      </c>
      <c r="Z29" s="118" t="str">
        <f aca="false">IF(qBusca="","",IF(ISNUMBER(SEARCH(TRIM(qBusca),Y29)),ROW(),""))</f>
        <v/>
      </c>
    </row>
    <row r="30" customFormat="false" ht="19.5" hidden="false" customHeight="true" outlineLevel="0" collapsed="false">
      <c r="A30" s="107" t="s">
        <v>281</v>
      </c>
      <c r="B30" s="108" t="s">
        <v>176</v>
      </c>
      <c r="C30" s="109" t="s">
        <v>282</v>
      </c>
      <c r="D30" s="109" t="s">
        <v>283</v>
      </c>
      <c r="E30" s="109" t="s">
        <v>162</v>
      </c>
      <c r="F30" s="110" t="n">
        <v>48008</v>
      </c>
      <c r="G30" s="108" t="s">
        <v>111</v>
      </c>
      <c r="H30" s="109"/>
      <c r="I30" s="109" t="s">
        <v>284</v>
      </c>
      <c r="J30" s="109"/>
      <c r="K30" s="109"/>
      <c r="L30" s="109" t="s">
        <v>285</v>
      </c>
      <c r="M30" s="108" t="n">
        <v>2</v>
      </c>
      <c r="N30" s="111" t="str">
        <f aca="false">IF(TRIM(SUBSTITUTE(E30,CHAR(160)," "))="Avaiação de uso","Avaliação de uso",IF(TRIM(SUBSTITUTE(E30,CHAR(160)," "))="Cancelada","Cancelado",TRIM(SUBSTITUTE(E30,CHAR(160)," "))))</f>
        <v>Aprovado</v>
      </c>
      <c r="O30" s="112" t="n">
        <f aca="false">IF(ISNUMBER(F30),F30,IFERROR(DATE(RIGHT(RIGHT(TRIM(F30),10),4),MID(RIGHT(TRIM(F30),10),4,2),LEFT(RIGHT(TRIM(F30),10),2)),""))</f>
        <v>48008</v>
      </c>
      <c r="P30" s="111" t="str">
        <f aca="false">PROPER(TRIM(SUBSTITUTE(I30,CHAR(160)," ")))</f>
        <v>Ana Claudia Sergio De Oliveira</v>
      </c>
      <c r="Q30" s="113" t="n">
        <f aca="false">IF(O30="","",O30-DataRef)</f>
        <v>1707</v>
      </c>
      <c r="R30" s="111" t="str">
        <f aca="false">IF(OR(N30="Cancelado",N30="Fora de Uso"),"Inativo",IF(OR(N30="Revisão",N30="Em Elaboração"),"Em tratamento",IF(OR(N30&lt;&gt;"Aprovado",O30=""),"Validar cadastro",IF(O30&lt;DataRef,"Ação imediata",IF(O30&lt;=EDATE(DataRef,12),"Planejar revisão","Regular")))))</f>
        <v>Regular</v>
      </c>
      <c r="S30" s="111" t="str">
        <f aca="false">IF(R30="Inativo","Inativo",IF(O30="","Sem validade",IF(O30&lt;DataRef,"Vencida",IF(O30&lt;=DataRef+90,"Até 90 dias",IF(O30&lt;=EDATE(DataRef,12),"91 dias a 12 meses","Após 12 meses")))))</f>
        <v>Após 12 meses</v>
      </c>
      <c r="T30" s="114" t="n">
        <f aca="false">IF(O30="","",DATE(YEAR(O30),MONTH(O30),1))</f>
        <v>48000</v>
      </c>
      <c r="U30" s="115" t="n">
        <f aca="false">IF(R30="Ação imediata",1,IF(N30="Não encontrado",2,IF(N30="Revisão",3,IF(N30="Em Elaboração",4,IF(S30="Até 90 dias",5,IF(R30="Validar cadastro",6,0))))))</f>
        <v>0</v>
      </c>
      <c r="V30" s="111" t="str">
        <f aca="false">CHOOSE(U30+1,IF(R30="Planejar revisão","Incluir no plano anual de revisão",IF(R30="Inativo","Sem ação","Monitorar")),"Revisar ou prorrogar validade","Confirmar status no NDocs","Acompanhar revisão","Concluir elaboração","Iniciar revisão (≤ 90 dias)","Validar aplicabilidade")</f>
        <v>Monitorar</v>
      </c>
      <c r="W30" s="116" t="n">
        <f aca="false">(OR(fArea="Todas",ISNUMBER(SEARCH(fArea,G30))))*(OR(fStatus="Todos",N30=fStatus))*(OR(fSit="Todas",R30=fSit))*(OR(fResp="Todos",P30=fResp))*(OR(fHor="Todos",S30=fHor))</f>
        <v>1</v>
      </c>
      <c r="X30" s="117" t="n">
        <f aca="false">IF(AND(W30=1,U30&gt;0),(7-U30)*100000+50000-IF(ISNUMBER(Q30),Q30,0)+ROW()/1000,0)</f>
        <v>0</v>
      </c>
      <c r="Y30" s="118" t="str">
        <f aca="false">UPPER(A30&amp;" "&amp;TRIM(SUBSTITUTE(C30,CHAR(160)," "))&amp;" "&amp;TRIM(SUBSTITUTE(D30,CHAR(160)," ")))</f>
        <v>BRK-INS-01-016288-PT IT 5030-00260 CALIBRAÇÃO DE ANALISADOR DE UMIDADE PORTÁTIL PANAMETRICS</v>
      </c>
      <c r="Z30" s="118" t="str">
        <f aca="false">IF(qBusca="","",IF(ISNUMBER(SEARCH(TRIM(qBusca),Y30)),ROW(),""))</f>
        <v/>
      </c>
    </row>
    <row r="31" customFormat="false" ht="19.5" hidden="false" customHeight="true" outlineLevel="0" collapsed="false">
      <c r="A31" s="107" t="s">
        <v>286</v>
      </c>
      <c r="B31" s="108" t="s">
        <v>250</v>
      </c>
      <c r="C31" s="109" t="s">
        <v>287</v>
      </c>
      <c r="D31" s="109" t="s">
        <v>288</v>
      </c>
      <c r="E31" s="109" t="s">
        <v>289</v>
      </c>
      <c r="F31" s="110" t="n">
        <v>45709</v>
      </c>
      <c r="G31" s="108" t="s">
        <v>36</v>
      </c>
      <c r="H31" s="109"/>
      <c r="I31" s="109" t="s">
        <v>163</v>
      </c>
      <c r="J31" s="109" t="s">
        <v>290</v>
      </c>
      <c r="K31" s="109" t="s">
        <v>291</v>
      </c>
      <c r="L31" s="109" t="s">
        <v>292</v>
      </c>
      <c r="M31" s="108" t="n">
        <v>1</v>
      </c>
      <c r="N31" s="111" t="str">
        <f aca="false">IF(TRIM(SUBSTITUTE(E31,CHAR(160)," "))="Avaiação de uso","Avaliação de uso",IF(TRIM(SUBSTITUTE(E31,CHAR(160)," "))="Cancelada","Cancelado",TRIM(SUBSTITUTE(E31,CHAR(160)," "))))</f>
        <v>Cancelado</v>
      </c>
      <c r="O31" s="112" t="n">
        <f aca="false">IF(ISNUMBER(F31),F31,IFERROR(DATE(RIGHT(RIGHT(TRIM(F31),10),4),MID(RIGHT(TRIM(F31),10),4,2),LEFT(RIGHT(TRIM(F31),10),2)),""))</f>
        <v>45709</v>
      </c>
      <c r="P31" s="111" t="str">
        <f aca="false">PROPER(TRIM(SUBSTITUTE(I31,CHAR(160)," ")))</f>
        <v>Ana Carla Da Cruz Araujo</v>
      </c>
      <c r="Q31" s="113" t="n">
        <f aca="false">IF(O31="","",O31-DataRef)</f>
        <v>-592</v>
      </c>
      <c r="R31" s="111" t="str">
        <f aca="false">IF(OR(N31="Cancelado",N31="Fora de Uso"),"Inativo",IF(OR(N31="Revisão",N31="Em Elaboração"),"Em tratamento",IF(OR(N31&lt;&gt;"Aprovado",O31=""),"Validar cadastro",IF(O31&lt;DataRef,"Ação imediata",IF(O31&lt;=EDATE(DataRef,12),"Planejar revisão","Regular")))))</f>
        <v>Inativo</v>
      </c>
      <c r="S31" s="111" t="str">
        <f aca="false">IF(R31="Inativo","Inativo",IF(O31="","Sem validade",IF(O31&lt;DataRef,"Vencida",IF(O31&lt;=DataRef+90,"Até 90 dias",IF(O31&lt;=EDATE(DataRef,12),"91 dias a 12 meses","Após 12 meses")))))</f>
        <v>Inativo</v>
      </c>
      <c r="T31" s="114" t="n">
        <f aca="false">IF(O31="","",DATE(YEAR(O31),MONTH(O31),1))</f>
        <v>45689</v>
      </c>
      <c r="U31" s="115" t="n">
        <f aca="false">IF(R31="Ação imediata",1,IF(N31="Não encontrado",2,IF(N31="Revisão",3,IF(N31="Em Elaboração",4,IF(S31="Até 90 dias",5,IF(R31="Validar cadastro",6,0))))))</f>
        <v>0</v>
      </c>
      <c r="V31" s="111" t="str">
        <f aca="false">CHOOSE(U31+1,IF(R31="Planejar revisão","Incluir no plano anual de revisão",IF(R31="Inativo","Sem ação","Monitorar")),"Revisar ou prorrogar validade","Confirmar status no NDocs","Acompanhar revisão","Concluir elaboração","Iniciar revisão (≤ 90 dias)","Validar aplicabilidade")</f>
        <v>Sem ação</v>
      </c>
      <c r="W31" s="116" t="n">
        <f aca="false">(OR(fArea="Todas",ISNUMBER(SEARCH(fArea,G31))))*(OR(fStatus="Todos",N31=fStatus))*(OR(fSit="Todas",R31=fSit))*(OR(fResp="Todos",P31=fResp))*(OR(fHor="Todos",S31=fHor))</f>
        <v>1</v>
      </c>
      <c r="X31" s="117" t="n">
        <f aca="false">IF(AND(W31=1,U31&gt;0),(7-U31)*100000+50000-IF(ISNUMBER(Q31),Q31,0)+ROW()/1000,0)</f>
        <v>0</v>
      </c>
      <c r="Y31" s="118" t="str">
        <f aca="false">UPPER(A31&amp;" "&amp;TRIM(SUBSTITUTE(C31,CHAR(160)," "))&amp;" "&amp;TRIM(SUBSTITUTE(D31,CHAR(160)," ")))</f>
        <v>BRK-INS-01-016295-PT IT 5020-00190 DETERMINAÇÃO DE COMPOSTOS SULFURADOS EM AMOSTRAS LÍQUIDAS (ANTEK 9000NS)</v>
      </c>
      <c r="Z31" s="118" t="str">
        <f aca="false">IF(qBusca="","",IF(ISNUMBER(SEARCH(TRIM(qBusca),Y31)),ROW(),""))</f>
        <v/>
      </c>
    </row>
    <row r="32" customFormat="false" ht="19.5" hidden="false" customHeight="true" outlineLevel="0" collapsed="false">
      <c r="A32" s="107" t="s">
        <v>293</v>
      </c>
      <c r="B32" s="108" t="s">
        <v>176</v>
      </c>
      <c r="C32" s="109" t="s">
        <v>294</v>
      </c>
      <c r="D32" s="109" t="s">
        <v>295</v>
      </c>
      <c r="E32" s="109" t="s">
        <v>162</v>
      </c>
      <c r="F32" s="110" t="n">
        <v>48008</v>
      </c>
      <c r="G32" s="108" t="s">
        <v>36</v>
      </c>
      <c r="H32" s="109"/>
      <c r="I32" s="109" t="s">
        <v>169</v>
      </c>
      <c r="J32" s="109"/>
      <c r="K32" s="109"/>
      <c r="L32" s="109" t="s">
        <v>296</v>
      </c>
      <c r="M32" s="108" t="n">
        <v>1</v>
      </c>
      <c r="N32" s="111" t="str">
        <f aca="false">IF(TRIM(SUBSTITUTE(E32,CHAR(160)," "))="Avaiação de uso","Avaliação de uso",IF(TRIM(SUBSTITUTE(E32,CHAR(160)," "))="Cancelada","Cancelado",TRIM(SUBSTITUTE(E32,CHAR(160)," "))))</f>
        <v>Aprovado</v>
      </c>
      <c r="O32" s="112" t="n">
        <f aca="false">IF(ISNUMBER(F32),F32,IFERROR(DATE(RIGHT(RIGHT(TRIM(F32),10),4),MID(RIGHT(TRIM(F32),10),4,2),LEFT(RIGHT(TRIM(F32),10),2)),""))</f>
        <v>48008</v>
      </c>
      <c r="P32" s="111" t="str">
        <f aca="false">PROPER(TRIM(SUBSTITUTE(I32,CHAR(160)," ")))</f>
        <v>Larissa Vicente Cardoso Guedes</v>
      </c>
      <c r="Q32" s="113" t="n">
        <f aca="false">IF(O32="","",O32-DataRef)</f>
        <v>1707</v>
      </c>
      <c r="R32" s="111" t="str">
        <f aca="false">IF(OR(N32="Cancelado",N32="Fora de Uso"),"Inativo",IF(OR(N32="Revisão",N32="Em Elaboração"),"Em tratamento",IF(OR(N32&lt;&gt;"Aprovado",O32=""),"Validar cadastro",IF(O32&lt;DataRef,"Ação imediata",IF(O32&lt;=EDATE(DataRef,12),"Planejar revisão","Regular")))))</f>
        <v>Regular</v>
      </c>
      <c r="S32" s="111" t="str">
        <f aca="false">IF(R32="Inativo","Inativo",IF(O32="","Sem validade",IF(O32&lt;DataRef,"Vencida",IF(O32&lt;=DataRef+90,"Até 90 dias",IF(O32&lt;=EDATE(DataRef,12),"91 dias a 12 meses","Após 12 meses")))))</f>
        <v>Após 12 meses</v>
      </c>
      <c r="T32" s="114" t="n">
        <f aca="false">IF(O32="","",DATE(YEAR(O32),MONTH(O32),1))</f>
        <v>48000</v>
      </c>
      <c r="U32" s="115" t="n">
        <f aca="false">IF(R32="Ação imediata",1,IF(N32="Não encontrado",2,IF(N32="Revisão",3,IF(N32="Em Elaboração",4,IF(S32="Até 90 dias",5,IF(R32="Validar cadastro",6,0))))))</f>
        <v>0</v>
      </c>
      <c r="V32" s="111" t="str">
        <f aca="false">CHOOSE(U32+1,IF(R32="Planejar revisão","Incluir no plano anual de revisão",IF(R32="Inativo","Sem ação","Monitorar")),"Revisar ou prorrogar validade","Confirmar status no NDocs","Acompanhar revisão","Concluir elaboração","Iniciar revisão (≤ 90 dias)","Validar aplicabilidade")</f>
        <v>Monitorar</v>
      </c>
      <c r="W32" s="116" t="n">
        <f aca="false">(OR(fArea="Todas",ISNUMBER(SEARCH(fArea,G32))))*(OR(fStatus="Todos",N32=fStatus))*(OR(fSit="Todas",R32=fSit))*(OR(fResp="Todos",P32=fResp))*(OR(fHor="Todos",S32=fHor))</f>
        <v>1</v>
      </c>
      <c r="X32" s="117" t="n">
        <f aca="false">IF(AND(W32=1,U32&gt;0),(7-U32)*100000+50000-IF(ISNUMBER(Q32),Q32,0)+ROW()/1000,0)</f>
        <v>0</v>
      </c>
      <c r="Y32" s="118" t="str">
        <f aca="false">UPPER(A32&amp;" "&amp;TRIM(SUBSTITUTE(C32,CHAR(160)," "))&amp;" "&amp;TRIM(SUBSTITUTE(D32,CHAR(160)," ")))</f>
        <v>BRK-INS-01-016303-PT IT 5020-00194 DETERMINAÇÃO DA COMPOSIÇÃO DO GÁS DE RECICLO DOS REATORES DAS LINHAS 1 E 2 POR CROMATOGRAFIA EM FASE GASOSA</v>
      </c>
      <c r="Z32" s="118" t="str">
        <f aca="false">IF(qBusca="","",IF(ISNUMBER(SEARCH(TRIM(qBusca),Y32)),ROW(),""))</f>
        <v/>
      </c>
    </row>
    <row r="33" customFormat="false" ht="19.5" hidden="false" customHeight="true" outlineLevel="0" collapsed="false">
      <c r="A33" s="107" t="s">
        <v>297</v>
      </c>
      <c r="B33" s="108" t="s">
        <v>250</v>
      </c>
      <c r="C33" s="109" t="s">
        <v>298</v>
      </c>
      <c r="D33" s="109" t="s">
        <v>299</v>
      </c>
      <c r="E33" s="109" t="s">
        <v>162</v>
      </c>
      <c r="F33" s="110" t="n">
        <v>48106</v>
      </c>
      <c r="G33" s="108" t="s">
        <v>36</v>
      </c>
      <c r="H33" s="109"/>
      <c r="I33" s="109" t="s">
        <v>169</v>
      </c>
      <c r="J33" s="109"/>
      <c r="K33" s="109"/>
      <c r="L33" s="109" t="s">
        <v>300</v>
      </c>
      <c r="M33" s="108" t="n">
        <v>1</v>
      </c>
      <c r="N33" s="111" t="str">
        <f aca="false">IF(TRIM(SUBSTITUTE(E33,CHAR(160)," "))="Avaiação de uso","Avaliação de uso",IF(TRIM(SUBSTITUTE(E33,CHAR(160)," "))="Cancelada","Cancelado",TRIM(SUBSTITUTE(E33,CHAR(160)," "))))</f>
        <v>Aprovado</v>
      </c>
      <c r="O33" s="112" t="n">
        <f aca="false">IF(ISNUMBER(F33),F33,IFERROR(DATE(RIGHT(RIGHT(TRIM(F33),10),4),MID(RIGHT(TRIM(F33),10),4,2),LEFT(RIGHT(TRIM(F33),10),2)),""))</f>
        <v>48106</v>
      </c>
      <c r="P33" s="111" t="str">
        <f aca="false">PROPER(TRIM(SUBSTITUTE(I33,CHAR(160)," ")))</f>
        <v>Larissa Vicente Cardoso Guedes</v>
      </c>
      <c r="Q33" s="113" t="n">
        <f aca="false">IF(O33="","",O33-DataRef)</f>
        <v>1805</v>
      </c>
      <c r="R33" s="111" t="str">
        <f aca="false">IF(OR(N33="Cancelado",N33="Fora de Uso"),"Inativo",IF(OR(N33="Revisão",N33="Em Elaboração"),"Em tratamento",IF(OR(N33&lt;&gt;"Aprovado",O33=""),"Validar cadastro",IF(O33&lt;DataRef,"Ação imediata",IF(O33&lt;=EDATE(DataRef,12),"Planejar revisão","Regular")))))</f>
        <v>Regular</v>
      </c>
      <c r="S33" s="111" t="str">
        <f aca="false">IF(R33="Inativo","Inativo",IF(O33="","Sem validade",IF(O33&lt;DataRef,"Vencida",IF(O33&lt;=DataRef+90,"Até 90 dias",IF(O33&lt;=EDATE(DataRef,12),"91 dias a 12 meses","Após 12 meses")))))</f>
        <v>Após 12 meses</v>
      </c>
      <c r="T33" s="114" t="n">
        <f aca="false">IF(O33="","",DATE(YEAR(O33),MONTH(O33),1))</f>
        <v>48092</v>
      </c>
      <c r="U33" s="115" t="n">
        <f aca="false">IF(R33="Ação imediata",1,IF(N33="Não encontrado",2,IF(N33="Revisão",3,IF(N33="Em Elaboração",4,IF(S33="Até 90 dias",5,IF(R33="Validar cadastro",6,0))))))</f>
        <v>0</v>
      </c>
      <c r="V33" s="111" t="str">
        <f aca="false">CHOOSE(U33+1,IF(R33="Planejar revisão","Incluir no plano anual de revisão",IF(R33="Inativo","Sem ação","Monitorar")),"Revisar ou prorrogar validade","Confirmar status no NDocs","Acompanhar revisão","Concluir elaboração","Iniciar revisão (≤ 90 dias)","Validar aplicabilidade")</f>
        <v>Monitorar</v>
      </c>
      <c r="W33" s="116" t="n">
        <f aca="false">(OR(fArea="Todas",ISNUMBER(SEARCH(fArea,G33))))*(OR(fStatus="Todos",N33=fStatus))*(OR(fSit="Todas",R33=fSit))*(OR(fResp="Todos",P33=fResp))*(OR(fHor="Todos",S33=fHor))</f>
        <v>1</v>
      </c>
      <c r="X33" s="117" t="n">
        <f aca="false">IF(AND(W33=1,U33&gt;0),(7-U33)*100000+50000-IF(ISNUMBER(Q33),Q33,0)+ROW()/1000,0)</f>
        <v>0</v>
      </c>
      <c r="Y33" s="118" t="str">
        <f aca="false">UPPER(A33&amp;" "&amp;TRIM(SUBSTITUTE(C33,CHAR(160)," "))&amp;" "&amp;TRIM(SUBSTITUTE(D33,CHAR(160)," ")))</f>
        <v>BRK-INS-01-016309-PT IT 5020-00197 DETERMINAÇÃO DE HIDROCARBONETOS CONTAMINANTES EM ETANO FRESCO POR CROMATOGRAFIA EM FASE GASOSA</v>
      </c>
      <c r="Z33" s="118" t="str">
        <f aca="false">IF(qBusca="","",IF(ISNUMBER(SEARCH(TRIM(qBusca),Y33)),ROW(),""))</f>
        <v/>
      </c>
    </row>
    <row r="34" customFormat="false" ht="19.5" hidden="false" customHeight="true" outlineLevel="0" collapsed="false">
      <c r="A34" s="107" t="s">
        <v>301</v>
      </c>
      <c r="B34" s="108" t="s">
        <v>302</v>
      </c>
      <c r="C34" s="109" t="s">
        <v>303</v>
      </c>
      <c r="D34" s="109" t="s">
        <v>304</v>
      </c>
      <c r="E34" s="109" t="s">
        <v>162</v>
      </c>
      <c r="F34" s="110" t="n">
        <v>48008</v>
      </c>
      <c r="G34" s="108" t="s">
        <v>36</v>
      </c>
      <c r="H34" s="109"/>
      <c r="I34" s="109" t="s">
        <v>163</v>
      </c>
      <c r="J34" s="109"/>
      <c r="K34" s="109"/>
      <c r="L34" s="109" t="s">
        <v>305</v>
      </c>
      <c r="M34" s="108" t="n">
        <v>1</v>
      </c>
      <c r="N34" s="111" t="str">
        <f aca="false">IF(TRIM(SUBSTITUTE(E34,CHAR(160)," "))="Avaiação de uso","Avaliação de uso",IF(TRIM(SUBSTITUTE(E34,CHAR(160)," "))="Cancelada","Cancelado",TRIM(SUBSTITUTE(E34,CHAR(160)," "))))</f>
        <v>Aprovado</v>
      </c>
      <c r="O34" s="112" t="n">
        <f aca="false">IF(ISNUMBER(F34),F34,IFERROR(DATE(RIGHT(RIGHT(TRIM(F34),10),4),MID(RIGHT(TRIM(F34),10),4,2),LEFT(RIGHT(TRIM(F34),10),2)),""))</f>
        <v>48008</v>
      </c>
      <c r="P34" s="111" t="str">
        <f aca="false">PROPER(TRIM(SUBSTITUTE(I34,CHAR(160)," ")))</f>
        <v>Ana Carla Da Cruz Araujo</v>
      </c>
      <c r="Q34" s="113" t="n">
        <f aca="false">IF(O34="","",O34-DataRef)</f>
        <v>1707</v>
      </c>
      <c r="R34" s="111" t="str">
        <f aca="false">IF(OR(N34="Cancelado",N34="Fora de Uso"),"Inativo",IF(OR(N34="Revisão",N34="Em Elaboração"),"Em tratamento",IF(OR(N34&lt;&gt;"Aprovado",O34=""),"Validar cadastro",IF(O34&lt;DataRef,"Ação imediata",IF(O34&lt;=EDATE(DataRef,12),"Planejar revisão","Regular")))))</f>
        <v>Regular</v>
      </c>
      <c r="S34" s="111" t="str">
        <f aca="false">IF(R34="Inativo","Inativo",IF(O34="","Sem validade",IF(O34&lt;DataRef,"Vencida",IF(O34&lt;=DataRef+90,"Até 90 dias",IF(O34&lt;=EDATE(DataRef,12),"91 dias a 12 meses","Após 12 meses")))))</f>
        <v>Após 12 meses</v>
      </c>
      <c r="T34" s="114" t="n">
        <f aca="false">IF(O34="","",DATE(YEAR(O34),MONTH(O34),1))</f>
        <v>48000</v>
      </c>
      <c r="U34" s="115" t="n">
        <f aca="false">IF(R34="Ação imediata",1,IF(N34="Não encontrado",2,IF(N34="Revisão",3,IF(N34="Em Elaboração",4,IF(S34="Até 90 dias",5,IF(R34="Validar cadastro",6,0))))))</f>
        <v>0</v>
      </c>
      <c r="V34" s="111" t="str">
        <f aca="false">CHOOSE(U34+1,IF(R34="Planejar revisão","Incluir no plano anual de revisão",IF(R34="Inativo","Sem ação","Monitorar")),"Revisar ou prorrogar validade","Confirmar status no NDocs","Acompanhar revisão","Concluir elaboração","Iniciar revisão (≤ 90 dias)","Validar aplicabilidade")</f>
        <v>Monitorar</v>
      </c>
      <c r="W34" s="116" t="n">
        <f aca="false">(OR(fArea="Todas",ISNUMBER(SEARCH(fArea,G34))))*(OR(fStatus="Todos",N34=fStatus))*(OR(fSit="Todas",R34=fSit))*(OR(fResp="Todos",P34=fResp))*(OR(fHor="Todos",S34=fHor))</f>
        <v>1</v>
      </c>
      <c r="X34" s="117" t="n">
        <f aca="false">IF(AND(W34=1,U34&gt;0),(7-U34)*100000+50000-IF(ISNUMBER(Q34),Q34,0)+ROW()/1000,0)</f>
        <v>0</v>
      </c>
      <c r="Y34" s="118" t="str">
        <f aca="false">UPPER(A34&amp;" "&amp;TRIM(SUBSTITUTE(C34,CHAR(160)," "))&amp;" "&amp;TRIM(SUBSTITUTE(D34,CHAR(160)," ")))</f>
        <v>BRK-INS-01-021119-PT IT 5020-00198 DETERMINAÇÃO DE OXIGENADOS EM GASES POR CROMATOGRAFIA EM FASE GASOSA</v>
      </c>
      <c r="Z34" s="118" t="str">
        <f aca="false">IF(qBusca="","",IF(ISNUMBER(SEARCH(TRIM(qBusca),Y34)),ROW(),""))</f>
        <v/>
      </c>
    </row>
    <row r="35" customFormat="false" ht="19.5" hidden="false" customHeight="true" outlineLevel="0" collapsed="false">
      <c r="A35" s="107" t="s">
        <v>306</v>
      </c>
      <c r="B35" s="108" t="s">
        <v>159</v>
      </c>
      <c r="C35" s="109" t="s">
        <v>307</v>
      </c>
      <c r="D35" s="109" t="s">
        <v>308</v>
      </c>
      <c r="E35" s="109" t="s">
        <v>162</v>
      </c>
      <c r="F35" s="110" t="n">
        <v>48031</v>
      </c>
      <c r="G35" s="108" t="s">
        <v>36</v>
      </c>
      <c r="H35" s="109" t="s">
        <v>309</v>
      </c>
      <c r="I35" s="109" t="s">
        <v>310</v>
      </c>
      <c r="J35" s="109"/>
      <c r="K35" s="109"/>
      <c r="L35" s="109" t="s">
        <v>311</v>
      </c>
      <c r="M35" s="108" t="n">
        <v>1</v>
      </c>
      <c r="N35" s="111" t="str">
        <f aca="false">IF(TRIM(SUBSTITUTE(E35,CHAR(160)," "))="Avaiação de uso","Avaliação de uso",IF(TRIM(SUBSTITUTE(E35,CHAR(160)," "))="Cancelada","Cancelado",TRIM(SUBSTITUTE(E35,CHAR(160)," "))))</f>
        <v>Aprovado</v>
      </c>
      <c r="O35" s="112" t="n">
        <f aca="false">IF(ISNUMBER(F35),F35,IFERROR(DATE(RIGHT(RIGHT(TRIM(F35),10),4),MID(RIGHT(TRIM(F35),10),4,2),LEFT(RIGHT(TRIM(F35),10),2)),""))</f>
        <v>48031</v>
      </c>
      <c r="P35" s="111" t="str">
        <f aca="false">PROPER(TRIM(SUBSTITUTE(I35,CHAR(160)," ")))</f>
        <v>Fatima Moura Guterres</v>
      </c>
      <c r="Q35" s="113" t="n">
        <f aca="false">IF(O35="","",O35-DataRef)</f>
        <v>1730</v>
      </c>
      <c r="R35" s="111" t="str">
        <f aca="false">IF(OR(N35="Cancelado",N35="Fora de Uso"),"Inativo",IF(OR(N35="Revisão",N35="Em Elaboração"),"Em tratamento",IF(OR(N35&lt;&gt;"Aprovado",O35=""),"Validar cadastro",IF(O35&lt;DataRef,"Ação imediata",IF(O35&lt;=EDATE(DataRef,12),"Planejar revisão","Regular")))))</f>
        <v>Regular</v>
      </c>
      <c r="S35" s="111" t="str">
        <f aca="false">IF(R35="Inativo","Inativo",IF(O35="","Sem validade",IF(O35&lt;DataRef,"Vencida",IF(O35&lt;=DataRef+90,"Até 90 dias",IF(O35&lt;=EDATE(DataRef,12),"91 dias a 12 meses","Após 12 meses")))))</f>
        <v>Após 12 meses</v>
      </c>
      <c r="T35" s="114" t="n">
        <f aca="false">IF(O35="","",DATE(YEAR(O35),MONTH(O35),1))</f>
        <v>48030</v>
      </c>
      <c r="U35" s="115" t="n">
        <f aca="false">IF(R35="Ação imediata",1,IF(N35="Não encontrado",2,IF(N35="Revisão",3,IF(N35="Em Elaboração",4,IF(S35="Até 90 dias",5,IF(R35="Validar cadastro",6,0))))))</f>
        <v>0</v>
      </c>
      <c r="V35" s="111" t="str">
        <f aca="false">CHOOSE(U35+1,IF(R35="Planejar revisão","Incluir no plano anual de revisão",IF(R35="Inativo","Sem ação","Monitorar")),"Revisar ou prorrogar validade","Confirmar status no NDocs","Acompanhar revisão","Concluir elaboração","Iniciar revisão (≤ 90 dias)","Validar aplicabilidade")</f>
        <v>Monitorar</v>
      </c>
      <c r="W35" s="116" t="n">
        <f aca="false">(OR(fArea="Todas",ISNUMBER(SEARCH(fArea,G35))))*(OR(fStatus="Todos",N35=fStatus))*(OR(fSit="Todas",R35=fSit))*(OR(fResp="Todos",P35=fResp))*(OR(fHor="Todos",S35=fHor))</f>
        <v>1</v>
      </c>
      <c r="X35" s="117" t="n">
        <f aca="false">IF(AND(W35=1,U35&gt;0),(7-U35)*100000+50000-IF(ISNUMBER(Q35),Q35,0)+ROW()/1000,0)</f>
        <v>0</v>
      </c>
      <c r="Y35" s="118" t="str">
        <f aca="false">UPPER(A35&amp;" "&amp;TRIM(SUBSTITUTE(C35,CHAR(160)," "))&amp;" "&amp;TRIM(SUBSTITUTE(D35,CHAR(160)," ")))</f>
        <v>BRK-INS-01-016326-PT IT 5020-00200 DETERMINAÇÃO DE HIDROCARBONETOS CONTAMINANTES EM ETENO PRODUTO POR CROMATOGRAFIA EM FASE GASOSA</v>
      </c>
      <c r="Z35" s="118" t="str">
        <f aca="false">IF(qBusca="","",IF(ISNUMBER(SEARCH(TRIM(qBusca),Y35)),ROW(),""))</f>
        <v/>
      </c>
    </row>
    <row r="36" customFormat="false" ht="19.5" hidden="false" customHeight="true" outlineLevel="0" collapsed="false">
      <c r="A36" s="107" t="s">
        <v>312</v>
      </c>
      <c r="B36" s="108" t="s">
        <v>176</v>
      </c>
      <c r="C36" s="109" t="s">
        <v>313</v>
      </c>
      <c r="D36" s="109" t="s">
        <v>314</v>
      </c>
      <c r="E36" s="109" t="s">
        <v>162</v>
      </c>
      <c r="F36" s="110" t="n">
        <v>48008</v>
      </c>
      <c r="G36" s="108" t="s">
        <v>36</v>
      </c>
      <c r="H36" s="109"/>
      <c r="I36" s="109" t="s">
        <v>163</v>
      </c>
      <c r="J36" s="109"/>
      <c r="K36" s="109"/>
      <c r="L36" s="109" t="s">
        <v>315</v>
      </c>
      <c r="M36" s="108" t="n">
        <v>1</v>
      </c>
      <c r="N36" s="111" t="str">
        <f aca="false">IF(TRIM(SUBSTITUTE(E36,CHAR(160)," "))="Avaiação de uso","Avaliação de uso",IF(TRIM(SUBSTITUTE(E36,CHAR(160)," "))="Cancelada","Cancelado",TRIM(SUBSTITUTE(E36,CHAR(160)," "))))</f>
        <v>Aprovado</v>
      </c>
      <c r="O36" s="112" t="n">
        <f aca="false">IF(ISNUMBER(F36),F36,IFERROR(DATE(RIGHT(RIGHT(TRIM(F36),10),4),MID(RIGHT(TRIM(F36),10),4,2),LEFT(RIGHT(TRIM(F36),10),2)),""))</f>
        <v>48008</v>
      </c>
      <c r="P36" s="111" t="str">
        <f aca="false">PROPER(TRIM(SUBSTITUTE(I36,CHAR(160)," ")))</f>
        <v>Ana Carla Da Cruz Araujo</v>
      </c>
      <c r="Q36" s="113" t="n">
        <f aca="false">IF(O36="","",O36-DataRef)</f>
        <v>1707</v>
      </c>
      <c r="R36" s="111" t="str">
        <f aca="false">IF(OR(N36="Cancelado",N36="Fora de Uso"),"Inativo",IF(OR(N36="Revisão",N36="Em Elaboração"),"Em tratamento",IF(OR(N36&lt;&gt;"Aprovado",O36=""),"Validar cadastro",IF(O36&lt;DataRef,"Ação imediata",IF(O36&lt;=EDATE(DataRef,12),"Planejar revisão","Regular")))))</f>
        <v>Regular</v>
      </c>
      <c r="S36" s="111" t="str">
        <f aca="false">IF(R36="Inativo","Inativo",IF(O36="","Sem validade",IF(O36&lt;DataRef,"Vencida",IF(O36&lt;=DataRef+90,"Até 90 dias",IF(O36&lt;=EDATE(DataRef,12),"91 dias a 12 meses","Após 12 meses")))))</f>
        <v>Após 12 meses</v>
      </c>
      <c r="T36" s="114" t="n">
        <f aca="false">IF(O36="","",DATE(YEAR(O36),MONTH(O36),1))</f>
        <v>48000</v>
      </c>
      <c r="U36" s="115" t="n">
        <f aca="false">IF(R36="Ação imediata",1,IF(N36="Não encontrado",2,IF(N36="Revisão",3,IF(N36="Em Elaboração",4,IF(S36="Até 90 dias",5,IF(R36="Validar cadastro",6,0))))))</f>
        <v>0</v>
      </c>
      <c r="V36" s="111" t="str">
        <f aca="false">CHOOSE(U36+1,IF(R36="Planejar revisão","Incluir no plano anual de revisão",IF(R36="Inativo","Sem ação","Monitorar")),"Revisar ou prorrogar validade","Confirmar status no NDocs","Acompanhar revisão","Concluir elaboração","Iniciar revisão (≤ 90 dias)","Validar aplicabilidade")</f>
        <v>Monitorar</v>
      </c>
      <c r="W36" s="116" t="n">
        <f aca="false">(OR(fArea="Todas",ISNUMBER(SEARCH(fArea,G36))))*(OR(fStatus="Todos",N36=fStatus))*(OR(fSit="Todas",R36=fSit))*(OR(fResp="Todos",P36=fResp))*(OR(fHor="Todos",S36=fHor))</f>
        <v>1</v>
      </c>
      <c r="X36" s="117" t="n">
        <f aca="false">IF(AND(W36=1,U36&gt;0),(7-U36)*100000+50000-IF(ISNUMBER(Q36),Q36,0)+ROW()/1000,0)</f>
        <v>0</v>
      </c>
      <c r="Y36" s="118" t="str">
        <f aca="false">UPPER(A36&amp;" "&amp;TRIM(SUBSTITUTE(C36,CHAR(160)," "))&amp;" "&amp;TRIM(SUBSTITUTE(D36,CHAR(160)," ")))</f>
        <v>BRK-INS-01-016334-PT IT 5020-00202 DETERMINAÇÃO DE HIDROCARBONETOS CONTAMINANTES EM HIDROGÊNIO PRODUTO POR CROMATOGRAFIA EM FASE GASOSA</v>
      </c>
      <c r="Z36" s="118" t="str">
        <f aca="false">IF(qBusca="","",IF(ISNUMBER(SEARCH(TRIM(qBusca),Y36)),ROW(),""))</f>
        <v/>
      </c>
    </row>
    <row r="37" customFormat="false" ht="19.5" hidden="false" customHeight="true" outlineLevel="0" collapsed="false">
      <c r="A37" s="107" t="s">
        <v>316</v>
      </c>
      <c r="B37" s="108" t="s">
        <v>176</v>
      </c>
      <c r="C37" s="109" t="s">
        <v>317</v>
      </c>
      <c r="D37" s="109" t="s">
        <v>318</v>
      </c>
      <c r="E37" s="109" t="s">
        <v>162</v>
      </c>
      <c r="F37" s="110" t="n">
        <v>48104</v>
      </c>
      <c r="G37" s="108" t="s">
        <v>36</v>
      </c>
      <c r="H37" s="109"/>
      <c r="I37" s="109" t="s">
        <v>169</v>
      </c>
      <c r="J37" s="109"/>
      <c r="K37" s="109"/>
      <c r="L37" s="109" t="s">
        <v>319</v>
      </c>
      <c r="M37" s="108" t="n">
        <v>1</v>
      </c>
      <c r="N37" s="111" t="str">
        <f aca="false">IF(TRIM(SUBSTITUTE(E37,CHAR(160)," "))="Avaiação de uso","Avaliação de uso",IF(TRIM(SUBSTITUTE(E37,CHAR(160)," "))="Cancelada","Cancelado",TRIM(SUBSTITUTE(E37,CHAR(160)," "))))</f>
        <v>Aprovado</v>
      </c>
      <c r="O37" s="112" t="n">
        <f aca="false">IF(ISNUMBER(F37),F37,IFERROR(DATE(RIGHT(RIGHT(TRIM(F37),10),4),MID(RIGHT(TRIM(F37),10),4,2),LEFT(RIGHT(TRIM(F37),10),2)),""))</f>
        <v>48104</v>
      </c>
      <c r="P37" s="111" t="str">
        <f aca="false">PROPER(TRIM(SUBSTITUTE(I37,CHAR(160)," ")))</f>
        <v>Larissa Vicente Cardoso Guedes</v>
      </c>
      <c r="Q37" s="113" t="n">
        <f aca="false">IF(O37="","",O37-DataRef)</f>
        <v>1803</v>
      </c>
      <c r="R37" s="111" t="str">
        <f aca="false">IF(OR(N37="Cancelado",N37="Fora de Uso"),"Inativo",IF(OR(N37="Revisão",N37="Em Elaboração"),"Em tratamento",IF(OR(N37&lt;&gt;"Aprovado",O37=""),"Validar cadastro",IF(O37&lt;DataRef,"Ação imediata",IF(O37&lt;=EDATE(DataRef,12),"Planejar revisão","Regular")))))</f>
        <v>Regular</v>
      </c>
      <c r="S37" s="111" t="str">
        <f aca="false">IF(R37="Inativo","Inativo",IF(O37="","Sem validade",IF(O37&lt;DataRef,"Vencida",IF(O37&lt;=DataRef+90,"Até 90 dias",IF(O37&lt;=EDATE(DataRef,12),"91 dias a 12 meses","Após 12 meses")))))</f>
        <v>Após 12 meses</v>
      </c>
      <c r="T37" s="114" t="n">
        <f aca="false">IF(O37="","",DATE(YEAR(O37),MONTH(O37),1))</f>
        <v>48092</v>
      </c>
      <c r="U37" s="115" t="n">
        <f aca="false">IF(R37="Ação imediata",1,IF(N37="Não encontrado",2,IF(N37="Revisão",3,IF(N37="Em Elaboração",4,IF(S37="Até 90 dias",5,IF(R37="Validar cadastro",6,0))))))</f>
        <v>0</v>
      </c>
      <c r="V37" s="111" t="str">
        <f aca="false">CHOOSE(U37+1,IF(R37="Planejar revisão","Incluir no plano anual de revisão",IF(R37="Inativo","Sem ação","Monitorar")),"Revisar ou prorrogar validade","Confirmar status no NDocs","Acompanhar revisão","Concluir elaboração","Iniciar revisão (≤ 90 dias)","Validar aplicabilidade")</f>
        <v>Monitorar</v>
      </c>
      <c r="W37" s="116" t="n">
        <f aca="false">(OR(fArea="Todas",ISNUMBER(SEARCH(fArea,G37))))*(OR(fStatus="Todos",N37=fStatus))*(OR(fSit="Todas",R37=fSit))*(OR(fResp="Todos",P37=fResp))*(OR(fHor="Todos",S37=fHor))</f>
        <v>1</v>
      </c>
      <c r="X37" s="117" t="n">
        <f aca="false">IF(AND(W37=1,U37&gt;0),(7-U37)*100000+50000-IF(ISNUMBER(Q37),Q37,0)+ROW()/1000,0)</f>
        <v>0</v>
      </c>
      <c r="Y37" s="118" t="str">
        <f aca="false">UPPER(A37&amp;" "&amp;TRIM(SUBSTITUTE(C37,CHAR(160)," "))&amp;" "&amp;TRIM(SUBSTITUTE(D37,CHAR(160)," ")))</f>
        <v>BRK-INS-01-016341-PT IT 5020-00203 DETERMINAÇÃO DE HIDROCARBONETOS EM GASES POR CROMATOGRAFIA EM FASE GASOSA CALCULADOS POR NORMALIZAÇÃO</v>
      </c>
      <c r="Z37" s="118" t="str">
        <f aca="false">IF(qBusca="","",IF(ISNUMBER(SEARCH(TRIM(qBusca),Y37)),ROW(),""))</f>
        <v/>
      </c>
    </row>
    <row r="38" customFormat="false" ht="19.5" hidden="false" customHeight="true" outlineLevel="0" collapsed="false">
      <c r="A38" s="107" t="s">
        <v>320</v>
      </c>
      <c r="B38" s="108" t="s">
        <v>176</v>
      </c>
      <c r="C38" s="109" t="s">
        <v>321</v>
      </c>
      <c r="D38" s="109" t="s">
        <v>322</v>
      </c>
      <c r="E38" s="109" t="s">
        <v>162</v>
      </c>
      <c r="F38" s="110" t="n">
        <v>46914</v>
      </c>
      <c r="G38" s="108" t="s">
        <v>36</v>
      </c>
      <c r="H38" s="109"/>
      <c r="I38" s="109" t="s">
        <v>163</v>
      </c>
      <c r="J38" s="109" t="s">
        <v>323</v>
      </c>
      <c r="K38" s="109"/>
      <c r="L38" s="109" t="s">
        <v>324</v>
      </c>
      <c r="M38" s="108" t="n">
        <v>1</v>
      </c>
      <c r="N38" s="111" t="str">
        <f aca="false">IF(TRIM(SUBSTITUTE(E38,CHAR(160)," "))="Avaiação de uso","Avaliação de uso",IF(TRIM(SUBSTITUTE(E38,CHAR(160)," "))="Cancelada","Cancelado",TRIM(SUBSTITUTE(E38,CHAR(160)," "))))</f>
        <v>Aprovado</v>
      </c>
      <c r="O38" s="112" t="n">
        <f aca="false">IF(ISNUMBER(F38),F38,IFERROR(DATE(RIGHT(RIGHT(TRIM(F38),10),4),MID(RIGHT(TRIM(F38),10),4,2),LEFT(RIGHT(TRIM(F38),10),2)),""))</f>
        <v>46914</v>
      </c>
      <c r="P38" s="111" t="str">
        <f aca="false">PROPER(TRIM(SUBSTITUTE(I38,CHAR(160)," ")))</f>
        <v>Ana Carla Da Cruz Araujo</v>
      </c>
      <c r="Q38" s="113" t="n">
        <f aca="false">IF(O38="","",O38-DataRef)</f>
        <v>613</v>
      </c>
      <c r="R38" s="111" t="str">
        <f aca="false">IF(OR(N38="Cancelado",N38="Fora de Uso"),"Inativo",IF(OR(N38="Revisão",N38="Em Elaboração"),"Em tratamento",IF(OR(N38&lt;&gt;"Aprovado",O38=""),"Validar cadastro",IF(O38&lt;DataRef,"Ação imediata",IF(O38&lt;=EDATE(DataRef,12),"Planejar revisão","Regular")))))</f>
        <v>Regular</v>
      </c>
      <c r="S38" s="111" t="str">
        <f aca="false">IF(R38="Inativo","Inativo",IF(O38="","Sem validade",IF(O38&lt;DataRef,"Vencida",IF(O38&lt;=DataRef+90,"Até 90 dias",IF(O38&lt;=EDATE(DataRef,12),"91 dias a 12 meses","Após 12 meses")))))</f>
        <v>Após 12 meses</v>
      </c>
      <c r="T38" s="114" t="n">
        <f aca="false">IF(O38="","",DATE(YEAR(O38),MONTH(O38),1))</f>
        <v>46905</v>
      </c>
      <c r="U38" s="115" t="n">
        <f aca="false">IF(R38="Ação imediata",1,IF(N38="Não encontrado",2,IF(N38="Revisão",3,IF(N38="Em Elaboração",4,IF(S38="Até 90 dias",5,IF(R38="Validar cadastro",6,0))))))</f>
        <v>0</v>
      </c>
      <c r="V38" s="111" t="str">
        <f aca="false">CHOOSE(U38+1,IF(R38="Planejar revisão","Incluir no plano anual de revisão",IF(R38="Inativo","Sem ação","Monitorar")),"Revisar ou prorrogar validade","Confirmar status no NDocs","Acompanhar revisão","Concluir elaboração","Iniciar revisão (≤ 90 dias)","Validar aplicabilidade")</f>
        <v>Monitorar</v>
      </c>
      <c r="W38" s="116" t="n">
        <f aca="false">(OR(fArea="Todas",ISNUMBER(SEARCH(fArea,G38))))*(OR(fStatus="Todos",N38=fStatus))*(OR(fSit="Todas",R38=fSit))*(OR(fResp="Todos",P38=fResp))*(OR(fHor="Todos",S38=fHor))</f>
        <v>1</v>
      </c>
      <c r="X38" s="117" t="n">
        <f aca="false">IF(AND(W38=1,U38&gt;0),(7-U38)*100000+50000-IF(ISNUMBER(Q38),Q38,0)+ROW()/1000,0)</f>
        <v>0</v>
      </c>
      <c r="Y38" s="118" t="str">
        <f aca="false">UPPER(A38&amp;" "&amp;TRIM(SUBSTITUTE(C38,CHAR(160)," "))&amp;" "&amp;TRIM(SUBSTITUTE(D38,CHAR(160)," ")))</f>
        <v>BRK-INS-01-016346-PT IT 5020-00207 DETERMINAÇÃO DA CONCENTRAÇÃO DE SODA CÁUSTICA POR VOLUMETRIA</v>
      </c>
      <c r="Z38" s="118" t="str">
        <f aca="false">IF(qBusca="","",IF(ISNUMBER(SEARCH(TRIM(qBusca),Y38)),ROW(),""))</f>
        <v/>
      </c>
    </row>
    <row r="39" customFormat="false" ht="19.5" hidden="false" customHeight="true" outlineLevel="0" collapsed="false">
      <c r="A39" s="107" t="s">
        <v>325</v>
      </c>
      <c r="B39" s="108" t="s">
        <v>176</v>
      </c>
      <c r="C39" s="109" t="s">
        <v>326</v>
      </c>
      <c r="D39" s="109" t="s">
        <v>327</v>
      </c>
      <c r="E39" s="109" t="s">
        <v>162</v>
      </c>
      <c r="F39" s="110" t="n">
        <v>46846</v>
      </c>
      <c r="G39" s="108" t="s">
        <v>36</v>
      </c>
      <c r="H39" s="109"/>
      <c r="I39" s="109" t="s">
        <v>163</v>
      </c>
      <c r="J39" s="109"/>
      <c r="K39" s="109"/>
      <c r="L39" s="109" t="s">
        <v>328</v>
      </c>
      <c r="M39" s="108" t="n">
        <v>1</v>
      </c>
      <c r="N39" s="111" t="str">
        <f aca="false">IF(TRIM(SUBSTITUTE(E39,CHAR(160)," "))="Avaiação de uso","Avaliação de uso",IF(TRIM(SUBSTITUTE(E39,CHAR(160)," "))="Cancelada","Cancelado",TRIM(SUBSTITUTE(E39,CHAR(160)," "))))</f>
        <v>Aprovado</v>
      </c>
      <c r="O39" s="112" t="n">
        <f aca="false">IF(ISNUMBER(F39),F39,IFERROR(DATE(RIGHT(RIGHT(TRIM(F39),10),4),MID(RIGHT(TRIM(F39),10),4,2),LEFT(RIGHT(TRIM(F39),10),2)),""))</f>
        <v>46846</v>
      </c>
      <c r="P39" s="111" t="str">
        <f aca="false">PROPER(TRIM(SUBSTITUTE(I39,CHAR(160)," ")))</f>
        <v>Ana Carla Da Cruz Araujo</v>
      </c>
      <c r="Q39" s="113" t="n">
        <f aca="false">IF(O39="","",O39-DataRef)</f>
        <v>545</v>
      </c>
      <c r="R39" s="111" t="str">
        <f aca="false">IF(OR(N39="Cancelado",N39="Fora de Uso"),"Inativo",IF(OR(N39="Revisão",N39="Em Elaboração"),"Em tratamento",IF(OR(N39&lt;&gt;"Aprovado",O39=""),"Validar cadastro",IF(O39&lt;DataRef,"Ação imediata",IF(O39&lt;=EDATE(DataRef,12),"Planejar revisão","Regular")))))</f>
        <v>Regular</v>
      </c>
      <c r="S39" s="111" t="str">
        <f aca="false">IF(R39="Inativo","Inativo",IF(O39="","Sem validade",IF(O39&lt;DataRef,"Vencida",IF(O39&lt;=DataRef+90,"Até 90 dias",IF(O39&lt;=EDATE(DataRef,12),"91 dias a 12 meses","Após 12 meses")))))</f>
        <v>Após 12 meses</v>
      </c>
      <c r="T39" s="114" t="n">
        <f aca="false">IF(O39="","",DATE(YEAR(O39),MONTH(O39),1))</f>
        <v>46844</v>
      </c>
      <c r="U39" s="115" t="n">
        <f aca="false">IF(R39="Ação imediata",1,IF(N39="Não encontrado",2,IF(N39="Revisão",3,IF(N39="Em Elaboração",4,IF(S39="Até 90 dias",5,IF(R39="Validar cadastro",6,0))))))</f>
        <v>0</v>
      </c>
      <c r="V39" s="111" t="str">
        <f aca="false">CHOOSE(U39+1,IF(R39="Planejar revisão","Incluir no plano anual de revisão",IF(R39="Inativo","Sem ação","Monitorar")),"Revisar ou prorrogar validade","Confirmar status no NDocs","Acompanhar revisão","Concluir elaboração","Iniciar revisão (≤ 90 dias)","Validar aplicabilidade")</f>
        <v>Monitorar</v>
      </c>
      <c r="W39" s="116" t="n">
        <f aca="false">(OR(fArea="Todas",ISNUMBER(SEARCH(fArea,G39))))*(OR(fStatus="Todos",N39=fStatus))*(OR(fSit="Todas",R39=fSit))*(OR(fResp="Todos",P39=fResp))*(OR(fHor="Todos",S39=fHor))</f>
        <v>1</v>
      </c>
      <c r="X39" s="117" t="n">
        <f aca="false">IF(AND(W39=1,U39&gt;0),(7-U39)*100000+50000-IF(ISNUMBER(Q39),Q39,0)+ROW()/1000,0)</f>
        <v>0</v>
      </c>
      <c r="Y39" s="118" t="str">
        <f aca="false">UPPER(A39&amp;" "&amp;TRIM(SUBSTITUTE(C39,CHAR(160)," "))&amp;" "&amp;TRIM(SUBSTITUTE(D39,CHAR(160)," ")))</f>
        <v>BRK-INS-01-016354-PT IT 5020-00208 DETERMINAÇÃO DA CONCENTRAÇÃO DE SÓLIDOS OU RESÍDUOS NÃO FILTRÁVEIS TOTAIS (RNFT)</v>
      </c>
      <c r="Z39" s="118" t="str">
        <f aca="false">IF(qBusca="","",IF(ISNUMBER(SEARCH(TRIM(qBusca),Y39)),ROW(),""))</f>
        <v/>
      </c>
    </row>
    <row r="40" customFormat="false" ht="19.5" hidden="false" customHeight="true" outlineLevel="0" collapsed="false">
      <c r="A40" s="107" t="s">
        <v>329</v>
      </c>
      <c r="B40" s="108" t="s">
        <v>159</v>
      </c>
      <c r="C40" s="109" t="s">
        <v>330</v>
      </c>
      <c r="D40" s="109" t="s">
        <v>331</v>
      </c>
      <c r="E40" s="109" t="s">
        <v>162</v>
      </c>
      <c r="F40" s="110" t="n">
        <v>46914</v>
      </c>
      <c r="G40" s="108" t="s">
        <v>36</v>
      </c>
      <c r="H40" s="109"/>
      <c r="I40" s="109" t="s">
        <v>163</v>
      </c>
      <c r="J40" s="109"/>
      <c r="K40" s="109"/>
      <c r="L40" s="109" t="s">
        <v>332</v>
      </c>
      <c r="M40" s="108" t="n">
        <v>1</v>
      </c>
      <c r="N40" s="111" t="str">
        <f aca="false">IF(TRIM(SUBSTITUTE(E40,CHAR(160)," "))="Avaiação de uso","Avaliação de uso",IF(TRIM(SUBSTITUTE(E40,CHAR(160)," "))="Cancelada","Cancelado",TRIM(SUBSTITUTE(E40,CHAR(160)," "))))</f>
        <v>Aprovado</v>
      </c>
      <c r="O40" s="112" t="n">
        <f aca="false">IF(ISNUMBER(F40),F40,IFERROR(DATE(RIGHT(RIGHT(TRIM(F40),10),4),MID(RIGHT(TRIM(F40),10),4,2),LEFT(RIGHT(TRIM(F40),10),2)),""))</f>
        <v>46914</v>
      </c>
      <c r="P40" s="111" t="str">
        <f aca="false">PROPER(TRIM(SUBSTITUTE(I40,CHAR(160)," ")))</f>
        <v>Ana Carla Da Cruz Araujo</v>
      </c>
      <c r="Q40" s="113" t="n">
        <f aca="false">IF(O40="","",O40-DataRef)</f>
        <v>613</v>
      </c>
      <c r="R40" s="111" t="str">
        <f aca="false">IF(OR(N40="Cancelado",N40="Fora de Uso"),"Inativo",IF(OR(N40="Revisão",N40="Em Elaboração"),"Em tratamento",IF(OR(N40&lt;&gt;"Aprovado",O40=""),"Validar cadastro",IF(O40&lt;DataRef,"Ação imediata",IF(O40&lt;=EDATE(DataRef,12),"Planejar revisão","Regular")))))</f>
        <v>Regular</v>
      </c>
      <c r="S40" s="111" t="str">
        <f aca="false">IF(R40="Inativo","Inativo",IF(O40="","Sem validade",IF(O40&lt;DataRef,"Vencida",IF(O40&lt;=DataRef+90,"Até 90 dias",IF(O40&lt;=EDATE(DataRef,12),"91 dias a 12 meses","Após 12 meses")))))</f>
        <v>Após 12 meses</v>
      </c>
      <c r="T40" s="114" t="n">
        <f aca="false">IF(O40="","",DATE(YEAR(O40),MONTH(O40),1))</f>
        <v>46905</v>
      </c>
      <c r="U40" s="115" t="n">
        <f aca="false">IF(R40="Ação imediata",1,IF(N40="Não encontrado",2,IF(N40="Revisão",3,IF(N40="Em Elaboração",4,IF(S40="Até 90 dias",5,IF(R40="Validar cadastro",6,0))))))</f>
        <v>0</v>
      </c>
      <c r="V40" s="111" t="str">
        <f aca="false">CHOOSE(U40+1,IF(R40="Planejar revisão","Incluir no plano anual de revisão",IF(R40="Inativo","Sem ação","Monitorar")),"Revisar ou prorrogar validade","Confirmar status no NDocs","Acompanhar revisão","Concluir elaboração","Iniciar revisão (≤ 90 dias)","Validar aplicabilidade")</f>
        <v>Monitorar</v>
      </c>
      <c r="W40" s="116" t="n">
        <f aca="false">(OR(fArea="Todas",ISNUMBER(SEARCH(fArea,G40))))*(OR(fStatus="Todos",N40=fStatus))*(OR(fSit="Todas",R40=fSit))*(OR(fResp="Todos",P40=fResp))*(OR(fHor="Todos",S40=fHor))</f>
        <v>1</v>
      </c>
      <c r="X40" s="117" t="n">
        <f aca="false">IF(AND(W40=1,U40&gt;0),(7-U40)*100000+50000-IF(ISNUMBER(Q40),Q40,0)+ROW()/1000,0)</f>
        <v>0</v>
      </c>
      <c r="Y40" s="118" t="str">
        <f aca="false">UPPER(A40&amp;" "&amp;TRIM(SUBSTITUTE(C40,CHAR(160)," "))&amp;" "&amp;TRIM(SUBSTITUTE(D40,CHAR(160)," ")))</f>
        <v>BRK-INS-01-016362-PT IT 5020-00209 DETERMINAÇÃO DA CONCENTRAÇÃO DE SÓLIDOS SEDIMENTÁVEIS</v>
      </c>
      <c r="Z40" s="118" t="str">
        <f aca="false">IF(qBusca="","",IF(ISNUMBER(SEARCH(TRIM(qBusca),Y40)),ROW(),""))</f>
        <v/>
      </c>
    </row>
    <row r="41" customFormat="false" ht="19.5" hidden="false" customHeight="true" outlineLevel="0" collapsed="false">
      <c r="A41" s="107" t="s">
        <v>333</v>
      </c>
      <c r="B41" s="108" t="s">
        <v>159</v>
      </c>
      <c r="C41" s="109" t="s">
        <v>334</v>
      </c>
      <c r="D41" s="109" t="s">
        <v>335</v>
      </c>
      <c r="E41" s="109" t="s">
        <v>162</v>
      </c>
      <c r="F41" s="110" t="n">
        <v>48008</v>
      </c>
      <c r="G41" s="108" t="s">
        <v>36</v>
      </c>
      <c r="H41" s="109"/>
      <c r="I41" s="109" t="s">
        <v>169</v>
      </c>
      <c r="J41" s="109"/>
      <c r="K41" s="109"/>
      <c r="L41" s="109" t="s">
        <v>336</v>
      </c>
      <c r="M41" s="108" t="n">
        <v>1</v>
      </c>
      <c r="N41" s="111" t="str">
        <f aca="false">IF(TRIM(SUBSTITUTE(E41,CHAR(160)," "))="Avaiação de uso","Avaliação de uso",IF(TRIM(SUBSTITUTE(E41,CHAR(160)," "))="Cancelada","Cancelado",TRIM(SUBSTITUTE(E41,CHAR(160)," "))))</f>
        <v>Aprovado</v>
      </c>
      <c r="O41" s="112" t="n">
        <f aca="false">IF(ISNUMBER(F41),F41,IFERROR(DATE(RIGHT(RIGHT(TRIM(F41),10),4),MID(RIGHT(TRIM(F41),10),4,2),LEFT(RIGHT(TRIM(F41),10),2)),""))</f>
        <v>48008</v>
      </c>
      <c r="P41" s="111" t="str">
        <f aca="false">PROPER(TRIM(SUBSTITUTE(I41,CHAR(160)," ")))</f>
        <v>Larissa Vicente Cardoso Guedes</v>
      </c>
      <c r="Q41" s="113" t="n">
        <f aca="false">IF(O41="","",O41-DataRef)</f>
        <v>1707</v>
      </c>
      <c r="R41" s="111" t="str">
        <f aca="false">IF(OR(N41="Cancelado",N41="Fora de Uso"),"Inativo",IF(OR(N41="Revisão",N41="Em Elaboração"),"Em tratamento",IF(OR(N41&lt;&gt;"Aprovado",O41=""),"Validar cadastro",IF(O41&lt;DataRef,"Ação imediata",IF(O41&lt;=EDATE(DataRef,12),"Planejar revisão","Regular")))))</f>
        <v>Regular</v>
      </c>
      <c r="S41" s="111" t="str">
        <f aca="false">IF(R41="Inativo","Inativo",IF(O41="","Sem validade",IF(O41&lt;DataRef,"Vencida",IF(O41&lt;=DataRef+90,"Até 90 dias",IF(O41&lt;=EDATE(DataRef,12),"91 dias a 12 meses","Após 12 meses")))))</f>
        <v>Após 12 meses</v>
      </c>
      <c r="T41" s="114" t="n">
        <f aca="false">IF(O41="","",DATE(YEAR(O41),MONTH(O41),1))</f>
        <v>48000</v>
      </c>
      <c r="U41" s="115" t="n">
        <f aca="false">IF(R41="Ação imediata",1,IF(N41="Não encontrado",2,IF(N41="Revisão",3,IF(N41="Em Elaboração",4,IF(S41="Até 90 dias",5,IF(R41="Validar cadastro",6,0))))))</f>
        <v>0</v>
      </c>
      <c r="V41" s="111" t="str">
        <f aca="false">CHOOSE(U41+1,IF(R41="Planejar revisão","Incluir no plano anual de revisão",IF(R41="Inativo","Sem ação","Monitorar")),"Revisar ou prorrogar validade","Confirmar status no NDocs","Acompanhar revisão","Concluir elaboração","Iniciar revisão (≤ 90 dias)","Validar aplicabilidade")</f>
        <v>Monitorar</v>
      </c>
      <c r="W41" s="116" t="n">
        <f aca="false">(OR(fArea="Todas",ISNUMBER(SEARCH(fArea,G41))))*(OR(fStatus="Todos",N41=fStatus))*(OR(fSit="Todas",R41=fSit))*(OR(fResp="Todos",P41=fResp))*(OR(fHor="Todos",S41=fHor))</f>
        <v>1</v>
      </c>
      <c r="X41" s="117" t="n">
        <f aca="false">IF(AND(W41=1,U41&gt;0),(7-U41)*100000+50000-IF(ISNUMBER(Q41),Q41,0)+ROW()/1000,0)</f>
        <v>0</v>
      </c>
      <c r="Y41" s="118" t="str">
        <f aca="false">UPPER(A41&amp;" "&amp;TRIM(SUBSTITUTE(C41,CHAR(160)," "))&amp;" "&amp;TRIM(SUBSTITUTE(D41,CHAR(160)," ")))</f>
        <v>BRK-INS-01-016375-PT IT 5020-00210 DETERMINAÇÃO DE ALCALINIDADE EM ÁGUAS</v>
      </c>
      <c r="Z41" s="118" t="str">
        <f aca="false">IF(qBusca="","",IF(ISNUMBER(SEARCH(TRIM(qBusca),Y41)),ROW(),""))</f>
        <v/>
      </c>
    </row>
    <row r="42" customFormat="false" ht="19.5" hidden="false" customHeight="true" outlineLevel="0" collapsed="false">
      <c r="A42" s="107" t="s">
        <v>337</v>
      </c>
      <c r="B42" s="108" t="s">
        <v>191</v>
      </c>
      <c r="C42" s="109" t="s">
        <v>338</v>
      </c>
      <c r="D42" s="109" t="s">
        <v>339</v>
      </c>
      <c r="E42" s="109" t="s">
        <v>162</v>
      </c>
      <c r="F42" s="110" t="n">
        <v>47917</v>
      </c>
      <c r="G42" s="108" t="s">
        <v>36</v>
      </c>
      <c r="H42" s="109"/>
      <c r="I42" s="109" t="s">
        <v>163</v>
      </c>
      <c r="J42" s="109"/>
      <c r="K42" s="109"/>
      <c r="L42" s="109" t="s">
        <v>340</v>
      </c>
      <c r="M42" s="108" t="n">
        <v>1</v>
      </c>
      <c r="N42" s="111" t="str">
        <f aca="false">IF(TRIM(SUBSTITUTE(E42,CHAR(160)," "))="Avaiação de uso","Avaliação de uso",IF(TRIM(SUBSTITUTE(E42,CHAR(160)," "))="Cancelada","Cancelado",TRIM(SUBSTITUTE(E42,CHAR(160)," "))))</f>
        <v>Aprovado</v>
      </c>
      <c r="O42" s="112" t="n">
        <f aca="false">IF(ISNUMBER(F42),F42,IFERROR(DATE(RIGHT(RIGHT(TRIM(F42),10),4),MID(RIGHT(TRIM(F42),10),4,2),LEFT(RIGHT(TRIM(F42),10),2)),""))</f>
        <v>47917</v>
      </c>
      <c r="P42" s="111" t="str">
        <f aca="false">PROPER(TRIM(SUBSTITUTE(I42,CHAR(160)," ")))</f>
        <v>Ana Carla Da Cruz Araujo</v>
      </c>
      <c r="Q42" s="113" t="n">
        <f aca="false">IF(O42="","",O42-DataRef)</f>
        <v>1616</v>
      </c>
      <c r="R42" s="111" t="str">
        <f aca="false">IF(OR(N42="Cancelado",N42="Fora de Uso"),"Inativo",IF(OR(N42="Revisão",N42="Em Elaboração"),"Em tratamento",IF(OR(N42&lt;&gt;"Aprovado",O42=""),"Validar cadastro",IF(O42&lt;DataRef,"Ação imediata",IF(O42&lt;=EDATE(DataRef,12),"Planejar revisão","Regular")))))</f>
        <v>Regular</v>
      </c>
      <c r="S42" s="111" t="str">
        <f aca="false">IF(R42="Inativo","Inativo",IF(O42="","Sem validade",IF(O42&lt;DataRef,"Vencida",IF(O42&lt;=DataRef+90,"Até 90 dias",IF(O42&lt;=EDATE(DataRef,12),"91 dias a 12 meses","Após 12 meses")))))</f>
        <v>Após 12 meses</v>
      </c>
      <c r="T42" s="114" t="n">
        <f aca="false">IF(O42="","",DATE(YEAR(O42),MONTH(O42),1))</f>
        <v>47908</v>
      </c>
      <c r="U42" s="115" t="n">
        <f aca="false">IF(R42="Ação imediata",1,IF(N42="Não encontrado",2,IF(N42="Revisão",3,IF(N42="Em Elaboração",4,IF(S42="Até 90 dias",5,IF(R42="Validar cadastro",6,0))))))</f>
        <v>0</v>
      </c>
      <c r="V42" s="111" t="str">
        <f aca="false">CHOOSE(U42+1,IF(R42="Planejar revisão","Incluir no plano anual de revisão",IF(R42="Inativo","Sem ação","Monitorar")),"Revisar ou prorrogar validade","Confirmar status no NDocs","Acompanhar revisão","Concluir elaboração","Iniciar revisão (≤ 90 dias)","Validar aplicabilidade")</f>
        <v>Monitorar</v>
      </c>
      <c r="W42" s="116" t="n">
        <f aca="false">(OR(fArea="Todas",ISNUMBER(SEARCH(fArea,G42))))*(OR(fStatus="Todos",N42=fStatus))*(OR(fSit="Todas",R42=fSit))*(OR(fResp="Todos",P42=fResp))*(OR(fHor="Todos",S42=fHor))</f>
        <v>1</v>
      </c>
      <c r="X42" s="117" t="n">
        <f aca="false">IF(AND(W42=1,U42&gt;0),(7-U42)*100000+50000-IF(ISNUMBER(Q42),Q42,0)+ROW()/1000,0)</f>
        <v>0</v>
      </c>
      <c r="Y42" s="118" t="str">
        <f aca="false">UPPER(A42&amp;" "&amp;TRIM(SUBSTITUTE(C42,CHAR(160)," "))&amp;" "&amp;TRIM(SUBSTITUTE(D42,CHAR(160)," ")))</f>
        <v>BRK-INS-01-016387-PT IT 5020-00212 DETERMINAÇÃO DA CONCENTRAÇÃO DE FENÓIS</v>
      </c>
      <c r="Z42" s="118" t="str">
        <f aca="false">IF(qBusca="","",IF(ISNUMBER(SEARCH(TRIM(qBusca),Y42)),ROW(),""))</f>
        <v/>
      </c>
    </row>
    <row r="43" customFormat="false" ht="19.5" hidden="false" customHeight="true" outlineLevel="0" collapsed="false">
      <c r="A43" s="107" t="s">
        <v>341</v>
      </c>
      <c r="B43" s="108" t="s">
        <v>176</v>
      </c>
      <c r="C43" s="109" t="s">
        <v>342</v>
      </c>
      <c r="D43" s="109" t="s">
        <v>343</v>
      </c>
      <c r="E43" s="109" t="s">
        <v>162</v>
      </c>
      <c r="F43" s="110" t="n">
        <v>48008</v>
      </c>
      <c r="G43" s="108" t="s">
        <v>36</v>
      </c>
      <c r="H43" s="109"/>
      <c r="I43" s="109" t="s">
        <v>169</v>
      </c>
      <c r="J43" s="109"/>
      <c r="K43" s="109"/>
      <c r="L43" s="109" t="s">
        <v>344</v>
      </c>
      <c r="M43" s="108" t="n">
        <v>1</v>
      </c>
      <c r="N43" s="111" t="str">
        <f aca="false">IF(TRIM(SUBSTITUTE(E43,CHAR(160)," "))="Avaiação de uso","Avaliação de uso",IF(TRIM(SUBSTITUTE(E43,CHAR(160)," "))="Cancelada","Cancelado",TRIM(SUBSTITUTE(E43,CHAR(160)," "))))</f>
        <v>Aprovado</v>
      </c>
      <c r="O43" s="112" t="n">
        <f aca="false">IF(ISNUMBER(F43),F43,IFERROR(DATE(RIGHT(RIGHT(TRIM(F43),10),4),MID(RIGHT(TRIM(F43),10),4,2),LEFT(RIGHT(TRIM(F43),10),2)),""))</f>
        <v>48008</v>
      </c>
      <c r="P43" s="111" t="str">
        <f aca="false">PROPER(TRIM(SUBSTITUTE(I43,CHAR(160)," ")))</f>
        <v>Larissa Vicente Cardoso Guedes</v>
      </c>
      <c r="Q43" s="113" t="n">
        <f aca="false">IF(O43="","",O43-DataRef)</f>
        <v>1707</v>
      </c>
      <c r="R43" s="111" t="str">
        <f aca="false">IF(OR(N43="Cancelado",N43="Fora de Uso"),"Inativo",IF(OR(N43="Revisão",N43="Em Elaboração"),"Em tratamento",IF(OR(N43&lt;&gt;"Aprovado",O43=""),"Validar cadastro",IF(O43&lt;DataRef,"Ação imediata",IF(O43&lt;=EDATE(DataRef,12),"Planejar revisão","Regular")))))</f>
        <v>Regular</v>
      </c>
      <c r="S43" s="111" t="str">
        <f aca="false">IF(R43="Inativo","Inativo",IF(O43="","Sem validade",IF(O43&lt;DataRef,"Vencida",IF(O43&lt;=DataRef+90,"Até 90 dias",IF(O43&lt;=EDATE(DataRef,12),"91 dias a 12 meses","Após 12 meses")))))</f>
        <v>Após 12 meses</v>
      </c>
      <c r="T43" s="114" t="n">
        <f aca="false">IF(O43="","",DATE(YEAR(O43),MONTH(O43),1))</f>
        <v>48000</v>
      </c>
      <c r="U43" s="115" t="n">
        <f aca="false">IF(R43="Ação imediata",1,IF(N43="Não encontrado",2,IF(N43="Revisão",3,IF(N43="Em Elaboração",4,IF(S43="Até 90 dias",5,IF(R43="Validar cadastro",6,0))))))</f>
        <v>0</v>
      </c>
      <c r="V43" s="111" t="str">
        <f aca="false">CHOOSE(U43+1,IF(R43="Planejar revisão","Incluir no plano anual de revisão",IF(R43="Inativo","Sem ação","Monitorar")),"Revisar ou prorrogar validade","Confirmar status no NDocs","Acompanhar revisão","Concluir elaboração","Iniciar revisão (≤ 90 dias)","Validar aplicabilidade")</f>
        <v>Monitorar</v>
      </c>
      <c r="W43" s="116" t="n">
        <f aca="false">(OR(fArea="Todas",ISNUMBER(SEARCH(fArea,G43))))*(OR(fStatus="Todos",N43=fStatus))*(OR(fSit="Todas",R43=fSit))*(OR(fResp="Todos",P43=fResp))*(OR(fHor="Todos",S43=fHor))</f>
        <v>1</v>
      </c>
      <c r="X43" s="117" t="n">
        <f aca="false">IF(AND(W43=1,U43&gt;0),(7-U43)*100000+50000-IF(ISNUMBER(Q43),Q43,0)+ROW()/1000,0)</f>
        <v>0</v>
      </c>
      <c r="Y43" s="118" t="str">
        <f aca="false">UPPER(A43&amp;" "&amp;TRIM(SUBSTITUTE(C43,CHAR(160)," "))&amp;" "&amp;TRIM(SUBSTITUTE(D43,CHAR(160)," ")))</f>
        <v>BRK-INS-01-016400-PT IT 5020-00213 DETERMINAÇÃO DA COR</v>
      </c>
      <c r="Z43" s="118" t="str">
        <f aca="false">IF(qBusca="","",IF(ISNUMBER(SEARCH(TRIM(qBusca),Y43)),ROW(),""))</f>
        <v/>
      </c>
    </row>
    <row r="44" customFormat="false" ht="19.5" hidden="false" customHeight="true" outlineLevel="0" collapsed="false">
      <c r="A44" s="107" t="s">
        <v>345</v>
      </c>
      <c r="B44" s="108" t="s">
        <v>235</v>
      </c>
      <c r="C44" s="109" t="s">
        <v>346</v>
      </c>
      <c r="D44" s="109" t="s">
        <v>347</v>
      </c>
      <c r="E44" s="109" t="s">
        <v>162</v>
      </c>
      <c r="F44" s="110" t="n">
        <v>48008</v>
      </c>
      <c r="G44" s="108" t="s">
        <v>36</v>
      </c>
      <c r="H44" s="109"/>
      <c r="I44" s="109" t="s">
        <v>169</v>
      </c>
      <c r="J44" s="109"/>
      <c r="K44" s="109"/>
      <c r="L44" s="109" t="s">
        <v>348</v>
      </c>
      <c r="M44" s="108" t="n">
        <v>1</v>
      </c>
      <c r="N44" s="111" t="str">
        <f aca="false">IF(TRIM(SUBSTITUTE(E44,CHAR(160)," "))="Avaiação de uso","Avaliação de uso",IF(TRIM(SUBSTITUTE(E44,CHAR(160)," "))="Cancelada","Cancelado",TRIM(SUBSTITUTE(E44,CHAR(160)," "))))</f>
        <v>Aprovado</v>
      </c>
      <c r="O44" s="112" t="n">
        <f aca="false">IF(ISNUMBER(F44),F44,IFERROR(DATE(RIGHT(RIGHT(TRIM(F44),10),4),MID(RIGHT(TRIM(F44),10),4,2),LEFT(RIGHT(TRIM(F44),10),2)),""))</f>
        <v>48008</v>
      </c>
      <c r="P44" s="111" t="str">
        <f aca="false">PROPER(TRIM(SUBSTITUTE(I44,CHAR(160)," ")))</f>
        <v>Larissa Vicente Cardoso Guedes</v>
      </c>
      <c r="Q44" s="113" t="n">
        <f aca="false">IF(O44="","",O44-DataRef)</f>
        <v>1707</v>
      </c>
      <c r="R44" s="111" t="str">
        <f aca="false">IF(OR(N44="Cancelado",N44="Fora de Uso"),"Inativo",IF(OR(N44="Revisão",N44="Em Elaboração"),"Em tratamento",IF(OR(N44&lt;&gt;"Aprovado",O44=""),"Validar cadastro",IF(O44&lt;DataRef,"Ação imediata",IF(O44&lt;=EDATE(DataRef,12),"Planejar revisão","Regular")))))</f>
        <v>Regular</v>
      </c>
      <c r="S44" s="111" t="str">
        <f aca="false">IF(R44="Inativo","Inativo",IF(O44="","Sem validade",IF(O44&lt;DataRef,"Vencida",IF(O44&lt;=DataRef+90,"Até 90 dias",IF(O44&lt;=EDATE(DataRef,12),"91 dias a 12 meses","Após 12 meses")))))</f>
        <v>Após 12 meses</v>
      </c>
      <c r="T44" s="114" t="n">
        <f aca="false">IF(O44="","",DATE(YEAR(O44),MONTH(O44),1))</f>
        <v>48000</v>
      </c>
      <c r="U44" s="115" t="n">
        <f aca="false">IF(R44="Ação imediata",1,IF(N44="Não encontrado",2,IF(N44="Revisão",3,IF(N44="Em Elaboração",4,IF(S44="Até 90 dias",5,IF(R44="Validar cadastro",6,0))))))</f>
        <v>0</v>
      </c>
      <c r="V44" s="111" t="str">
        <f aca="false">CHOOSE(U44+1,IF(R44="Planejar revisão","Incluir no plano anual de revisão",IF(R44="Inativo","Sem ação","Monitorar")),"Revisar ou prorrogar validade","Confirmar status no NDocs","Acompanhar revisão","Concluir elaboração","Iniciar revisão (≤ 90 dias)","Validar aplicabilidade")</f>
        <v>Monitorar</v>
      </c>
      <c r="W44" s="116" t="n">
        <f aca="false">(OR(fArea="Todas",ISNUMBER(SEARCH(fArea,G44))))*(OR(fStatus="Todos",N44=fStatus))*(OR(fSit="Todas",R44=fSit))*(OR(fResp="Todos",P44=fResp))*(OR(fHor="Todos",S44=fHor))</f>
        <v>1</v>
      </c>
      <c r="X44" s="117" t="n">
        <f aca="false">IF(AND(W44=1,U44&gt;0),(7-U44)*100000+50000-IF(ISNUMBER(Q44),Q44,0)+ROW()/1000,0)</f>
        <v>0</v>
      </c>
      <c r="Y44" s="118" t="str">
        <f aca="false">UPPER(A44&amp;" "&amp;TRIM(SUBSTITUTE(C44,CHAR(160)," "))&amp;" "&amp;TRIM(SUBSTITUTE(D44,CHAR(160)," ")))</f>
        <v>BRK-INS-01-016413-PT IT 5020-00215 DETERMINAÇÃO DA CONCENTRAÇÃO DE ORTOFOSFATO</v>
      </c>
      <c r="Z44" s="118" t="str">
        <f aca="false">IF(qBusca="","",IF(ISNUMBER(SEARCH(TRIM(qBusca),Y44)),ROW(),""))</f>
        <v/>
      </c>
    </row>
    <row r="45" customFormat="false" ht="19.5" hidden="false" customHeight="true" outlineLevel="0" collapsed="false">
      <c r="A45" s="107" t="s">
        <v>349</v>
      </c>
      <c r="B45" s="108" t="s">
        <v>235</v>
      </c>
      <c r="C45" s="109" t="s">
        <v>350</v>
      </c>
      <c r="D45" s="109" t="s">
        <v>351</v>
      </c>
      <c r="E45" s="109" t="s">
        <v>162</v>
      </c>
      <c r="F45" s="110" t="n">
        <v>46846</v>
      </c>
      <c r="G45" s="108" t="s">
        <v>36</v>
      </c>
      <c r="H45" s="109"/>
      <c r="I45" s="109" t="s">
        <v>163</v>
      </c>
      <c r="J45" s="109" t="s">
        <v>352</v>
      </c>
      <c r="K45" s="109"/>
      <c r="L45" s="109" t="s">
        <v>353</v>
      </c>
      <c r="M45" s="108" t="n">
        <v>1</v>
      </c>
      <c r="N45" s="111" t="str">
        <f aca="false">IF(TRIM(SUBSTITUTE(E45,CHAR(160)," "))="Avaiação de uso","Avaliação de uso",IF(TRIM(SUBSTITUTE(E45,CHAR(160)," "))="Cancelada","Cancelado",TRIM(SUBSTITUTE(E45,CHAR(160)," "))))</f>
        <v>Aprovado</v>
      </c>
      <c r="O45" s="112" t="n">
        <f aca="false">IF(ISNUMBER(F45),F45,IFERROR(DATE(RIGHT(RIGHT(TRIM(F45),10),4),MID(RIGHT(TRIM(F45),10),4,2),LEFT(RIGHT(TRIM(F45),10),2)),""))</f>
        <v>46846</v>
      </c>
      <c r="P45" s="111" t="str">
        <f aca="false">PROPER(TRIM(SUBSTITUTE(I45,CHAR(160)," ")))</f>
        <v>Ana Carla Da Cruz Araujo</v>
      </c>
      <c r="Q45" s="113" t="n">
        <f aca="false">IF(O45="","",O45-DataRef)</f>
        <v>545</v>
      </c>
      <c r="R45" s="111" t="str">
        <f aca="false">IF(OR(N45="Cancelado",N45="Fora de Uso"),"Inativo",IF(OR(N45="Revisão",N45="Em Elaboração"),"Em tratamento",IF(OR(N45&lt;&gt;"Aprovado",O45=""),"Validar cadastro",IF(O45&lt;DataRef,"Ação imediata",IF(O45&lt;=EDATE(DataRef,12),"Planejar revisão","Regular")))))</f>
        <v>Regular</v>
      </c>
      <c r="S45" s="111" t="str">
        <f aca="false">IF(R45="Inativo","Inativo",IF(O45="","Sem validade",IF(O45&lt;DataRef,"Vencida",IF(O45&lt;=DataRef+90,"Até 90 dias",IF(O45&lt;=EDATE(DataRef,12),"91 dias a 12 meses","Após 12 meses")))))</f>
        <v>Após 12 meses</v>
      </c>
      <c r="T45" s="114" t="n">
        <f aca="false">IF(O45="","",DATE(YEAR(O45),MONTH(O45),1))</f>
        <v>46844</v>
      </c>
      <c r="U45" s="115" t="n">
        <f aca="false">IF(R45="Ação imediata",1,IF(N45="Não encontrado",2,IF(N45="Revisão",3,IF(N45="Em Elaboração",4,IF(S45="Até 90 dias",5,IF(R45="Validar cadastro",6,0))))))</f>
        <v>0</v>
      </c>
      <c r="V45" s="111" t="str">
        <f aca="false">CHOOSE(U45+1,IF(R45="Planejar revisão","Incluir no plano anual de revisão",IF(R45="Inativo","Sem ação","Monitorar")),"Revisar ou prorrogar validade","Confirmar status no NDocs","Acompanhar revisão","Concluir elaboração","Iniciar revisão (≤ 90 dias)","Validar aplicabilidade")</f>
        <v>Monitorar</v>
      </c>
      <c r="W45" s="116" t="n">
        <f aca="false">(OR(fArea="Todas",ISNUMBER(SEARCH(fArea,G45))))*(OR(fStatus="Todos",N45=fStatus))*(OR(fSit="Todas",R45=fSit))*(OR(fResp="Todos",P45=fResp))*(OR(fHor="Todos",S45=fHor))</f>
        <v>1</v>
      </c>
      <c r="X45" s="117" t="n">
        <f aca="false">IF(AND(W45=1,U45&gt;0),(7-U45)*100000+50000-IF(ISNUMBER(Q45),Q45,0)+ROW()/1000,0)</f>
        <v>0</v>
      </c>
      <c r="Y45" s="118" t="str">
        <f aca="false">UPPER(A45&amp;" "&amp;TRIM(SUBSTITUTE(C45,CHAR(160)," "))&amp;" "&amp;TRIM(SUBSTITUTE(D45,CHAR(160)," ")))</f>
        <v>BRK-INS-01-016427-PT IT 5020-00216 DETERMINAÇÃO DA DEMANDA QUÍMICA DE OXIGÊNIO EM ÁGUAS E EFLUENTES</v>
      </c>
      <c r="Z45" s="118" t="n">
        <f aca="false">IF(qBusca="","",IF(ISNUMBER(SEARCH(TRIM(qBusca),Y45)),ROW(),""))</f>
        <v>45</v>
      </c>
    </row>
    <row r="46" customFormat="false" ht="19.5" hidden="false" customHeight="true" outlineLevel="0" collapsed="false">
      <c r="A46" s="107" t="s">
        <v>354</v>
      </c>
      <c r="B46" s="108" t="s">
        <v>250</v>
      </c>
      <c r="C46" s="109" t="s">
        <v>355</v>
      </c>
      <c r="D46" s="109" t="s">
        <v>356</v>
      </c>
      <c r="E46" s="109" t="s">
        <v>162</v>
      </c>
      <c r="F46" s="110" t="n">
        <v>46689</v>
      </c>
      <c r="G46" s="108" t="s">
        <v>111</v>
      </c>
      <c r="H46" s="109"/>
      <c r="I46" s="109" t="s">
        <v>258</v>
      </c>
      <c r="J46" s="109"/>
      <c r="K46" s="109"/>
      <c r="L46" s="109" t="s">
        <v>357</v>
      </c>
      <c r="M46" s="108" t="n">
        <v>2</v>
      </c>
      <c r="N46" s="111" t="str">
        <f aca="false">IF(TRIM(SUBSTITUTE(E46,CHAR(160)," "))="Avaiação de uso","Avaliação de uso",IF(TRIM(SUBSTITUTE(E46,CHAR(160)," "))="Cancelada","Cancelado",TRIM(SUBSTITUTE(E46,CHAR(160)," "))))</f>
        <v>Aprovado</v>
      </c>
      <c r="O46" s="112" t="n">
        <f aca="false">IF(ISNUMBER(F46),F46,IFERROR(DATE(RIGHT(RIGHT(TRIM(F46),10),4),MID(RIGHT(TRIM(F46),10),4,2),LEFT(RIGHT(TRIM(F46),10),2)),""))</f>
        <v>46689</v>
      </c>
      <c r="P46" s="111" t="str">
        <f aca="false">PROPER(TRIM(SUBSTITUTE(I46,CHAR(160)," ")))</f>
        <v>Ana Claudia Sergio De Oliveira</v>
      </c>
      <c r="Q46" s="113" t="n">
        <f aca="false">IF(O46="","",O46-DataRef)</f>
        <v>388</v>
      </c>
      <c r="R46" s="111" t="str">
        <f aca="false">IF(OR(N46="Cancelado",N46="Fora de Uso"),"Inativo",IF(OR(N46="Revisão",N46="Em Elaboração"),"Em tratamento",IF(OR(N46&lt;&gt;"Aprovado",O46=""),"Validar cadastro",IF(O46&lt;DataRef,"Ação imediata",IF(O46&lt;=EDATE(DataRef,12),"Planejar revisão","Regular")))))</f>
        <v>Regular</v>
      </c>
      <c r="S46" s="111" t="str">
        <f aca="false">IF(R46="Inativo","Inativo",IF(O46="","Sem validade",IF(O46&lt;DataRef,"Vencida",IF(O46&lt;=DataRef+90,"Até 90 dias",IF(O46&lt;=EDATE(DataRef,12),"91 dias a 12 meses","Após 12 meses")))))</f>
        <v>Após 12 meses</v>
      </c>
      <c r="T46" s="114" t="n">
        <f aca="false">IF(O46="","",DATE(YEAR(O46),MONTH(O46),1))</f>
        <v>46661</v>
      </c>
      <c r="U46" s="115" t="n">
        <f aca="false">IF(R46="Ação imediata",1,IF(N46="Não encontrado",2,IF(N46="Revisão",3,IF(N46="Em Elaboração",4,IF(S46="Até 90 dias",5,IF(R46="Validar cadastro",6,0))))))</f>
        <v>0</v>
      </c>
      <c r="V46" s="111" t="str">
        <f aca="false">CHOOSE(U46+1,IF(R46="Planejar revisão","Incluir no plano anual de revisão",IF(R46="Inativo","Sem ação","Monitorar")),"Revisar ou prorrogar validade","Confirmar status no NDocs","Acompanhar revisão","Concluir elaboração","Iniciar revisão (≤ 90 dias)","Validar aplicabilidade")</f>
        <v>Monitorar</v>
      </c>
      <c r="W46" s="116" t="n">
        <f aca="false">(OR(fArea="Todas",ISNUMBER(SEARCH(fArea,G46))))*(OR(fStatus="Todos",N46=fStatus))*(OR(fSit="Todas",R46=fSit))*(OR(fResp="Todos",P46=fResp))*(OR(fHor="Todos",S46=fHor))</f>
        <v>1</v>
      </c>
      <c r="X46" s="117" t="n">
        <f aca="false">IF(AND(W46=1,U46&gt;0),(7-U46)*100000+50000-IF(ISNUMBER(Q46),Q46,0)+ROW()/1000,0)</f>
        <v>0</v>
      </c>
      <c r="Y46" s="118" t="str">
        <f aca="false">UPPER(A46&amp;" "&amp;TRIM(SUBSTITUTE(C46,CHAR(160)," "))&amp;" "&amp;TRIM(SUBSTITUTE(D46,CHAR(160)," ")))</f>
        <v>BRK-INS-01-016793-PT IT 6010-00078 DETERMINAÇÃO DE OXIGÊNIO EM GASES POR TELEDYNE MOD 3010</v>
      </c>
      <c r="Z46" s="118" t="n">
        <f aca="false">IF(qBusca="","",IF(ISNUMBER(SEARCH(TRIM(qBusca),Y46)),ROW(),""))</f>
        <v>46</v>
      </c>
    </row>
    <row r="47" customFormat="false" ht="19.5" hidden="false" customHeight="true" outlineLevel="0" collapsed="false">
      <c r="A47" s="107" t="s">
        <v>358</v>
      </c>
      <c r="B47" s="108" t="s">
        <v>235</v>
      </c>
      <c r="C47" s="109" t="s">
        <v>359</v>
      </c>
      <c r="D47" s="109" t="s">
        <v>360</v>
      </c>
      <c r="E47" s="109" t="s">
        <v>361</v>
      </c>
      <c r="F47" s="110" t="n">
        <v>46506</v>
      </c>
      <c r="G47" s="108" t="s">
        <v>36</v>
      </c>
      <c r="H47" s="109"/>
      <c r="I47" s="109" t="s">
        <v>163</v>
      </c>
      <c r="J47" s="109" t="s">
        <v>362</v>
      </c>
      <c r="K47" s="109"/>
      <c r="L47" s="109" t="s">
        <v>363</v>
      </c>
      <c r="M47" s="108" t="n">
        <v>1</v>
      </c>
      <c r="N47" s="111" t="str">
        <f aca="false">IF(TRIM(SUBSTITUTE(E47,CHAR(160)," "))="Avaiação de uso","Avaliação de uso",IF(TRIM(SUBSTITUTE(E47,CHAR(160)," "))="Cancelada","Cancelado",TRIM(SUBSTITUTE(E47,CHAR(160)," "))))</f>
        <v>Revisão</v>
      </c>
      <c r="O47" s="112" t="n">
        <f aca="false">IF(ISNUMBER(F47),F47,IFERROR(DATE(RIGHT(RIGHT(TRIM(F47),10),4),MID(RIGHT(TRIM(F47),10),4,2),LEFT(RIGHT(TRIM(F47),10),2)),""))</f>
        <v>46506</v>
      </c>
      <c r="P47" s="111" t="str">
        <f aca="false">PROPER(TRIM(SUBSTITUTE(I47,CHAR(160)," ")))</f>
        <v>Ana Carla Da Cruz Araujo</v>
      </c>
      <c r="Q47" s="113" t="n">
        <f aca="false">IF(O47="","",O47-DataRef)</f>
        <v>205</v>
      </c>
      <c r="R47" s="111" t="str">
        <f aca="false">IF(OR(N47="Cancelado",N47="Fora de Uso"),"Inativo",IF(OR(N47="Revisão",N47="Em Elaboração"),"Em tratamento",IF(OR(N47&lt;&gt;"Aprovado",O47=""),"Validar cadastro",IF(O47&lt;DataRef,"Ação imediata",IF(O47&lt;=EDATE(DataRef,12),"Planejar revisão","Regular")))))</f>
        <v>Em tratamento</v>
      </c>
      <c r="S47" s="111" t="str">
        <f aca="false">IF(R47="Inativo","Inativo",IF(O47="","Sem validade",IF(O47&lt;DataRef,"Vencida",IF(O47&lt;=DataRef+90,"Até 90 dias",IF(O47&lt;=EDATE(DataRef,12),"91 dias a 12 meses","Após 12 meses")))))</f>
        <v>91 dias a 12 meses</v>
      </c>
      <c r="T47" s="114" t="n">
        <f aca="false">IF(O47="","",DATE(YEAR(O47),MONTH(O47),1))</f>
        <v>46478</v>
      </c>
      <c r="U47" s="115" t="n">
        <f aca="false">IF(R47="Ação imediata",1,IF(N47="Não encontrado",2,IF(N47="Revisão",3,IF(N47="Em Elaboração",4,IF(S47="Até 90 dias",5,IF(R47="Validar cadastro",6,0))))))</f>
        <v>3</v>
      </c>
      <c r="V47" s="111" t="str">
        <f aca="false">CHOOSE(U47+1,IF(R47="Planejar revisão","Incluir no plano anual de revisão",IF(R47="Inativo","Sem ação","Monitorar")),"Revisar ou prorrogar validade","Confirmar status no NDocs","Acompanhar revisão","Concluir elaboração","Iniciar revisão (≤ 90 dias)","Validar aplicabilidade")</f>
        <v>Acompanhar revisão</v>
      </c>
      <c r="W47" s="116" t="n">
        <f aca="false">(OR(fArea="Todas",ISNUMBER(SEARCH(fArea,G47))))*(OR(fStatus="Todos",N47=fStatus))*(OR(fSit="Todas",R47=fSit))*(OR(fResp="Todos",P47=fResp))*(OR(fHor="Todos",S47=fHor))</f>
        <v>1</v>
      </c>
      <c r="X47" s="117" t="n">
        <f aca="false">IF(AND(W47=1,U47&gt;0),(7-U47)*100000+50000-IF(ISNUMBER(Q47),Q47,0)+ROW()/1000,0)</f>
        <v>449795.047</v>
      </c>
      <c r="Y47" s="118" t="str">
        <f aca="false">UPPER(A47&amp;" "&amp;TRIM(SUBSTITUTE(C47,CHAR(160)," "))&amp;" "&amp;TRIM(SUBSTITUTE(D47,CHAR(160)," ")))</f>
        <v>BRK-INS-01-018898-PT IT 5020-00211 DETERMINAÇÃO DE ÓLEOS E GRAXAS</v>
      </c>
      <c r="Z47" s="118" t="str">
        <f aca="false">IF(qBusca="","",IF(ISNUMBER(SEARCH(TRIM(qBusca),Y47)),ROW(),""))</f>
        <v/>
      </c>
    </row>
    <row r="48" customFormat="false" ht="19.5" hidden="false" customHeight="true" outlineLevel="0" collapsed="false">
      <c r="A48" s="107" t="s">
        <v>364</v>
      </c>
      <c r="B48" s="108" t="s">
        <v>302</v>
      </c>
      <c r="C48" s="109" t="s">
        <v>365</v>
      </c>
      <c r="D48" s="109" t="s">
        <v>366</v>
      </c>
      <c r="E48" s="109" t="s">
        <v>162</v>
      </c>
      <c r="F48" s="110" t="n">
        <v>47974</v>
      </c>
      <c r="G48" s="108" t="s">
        <v>36</v>
      </c>
      <c r="H48" s="109"/>
      <c r="I48" s="109" t="s">
        <v>169</v>
      </c>
      <c r="J48" s="109" t="s">
        <v>367</v>
      </c>
      <c r="K48" s="109"/>
      <c r="L48" s="109" t="s">
        <v>368</v>
      </c>
      <c r="M48" s="108" t="n">
        <v>1</v>
      </c>
      <c r="N48" s="111" t="str">
        <f aca="false">IF(TRIM(SUBSTITUTE(E48,CHAR(160)," "))="Avaiação de uso","Avaliação de uso",IF(TRIM(SUBSTITUTE(E48,CHAR(160)," "))="Cancelada","Cancelado",TRIM(SUBSTITUTE(E48,CHAR(160)," "))))</f>
        <v>Aprovado</v>
      </c>
      <c r="O48" s="112" t="n">
        <f aca="false">IF(ISNUMBER(F48),F48,IFERROR(DATE(RIGHT(RIGHT(TRIM(F48),10),4),MID(RIGHT(TRIM(F48),10),4,2),LEFT(RIGHT(TRIM(F48),10),2)),""))</f>
        <v>47974</v>
      </c>
      <c r="P48" s="111" t="str">
        <f aca="false">PROPER(TRIM(SUBSTITUTE(I48,CHAR(160)," ")))</f>
        <v>Larissa Vicente Cardoso Guedes</v>
      </c>
      <c r="Q48" s="113" t="n">
        <f aca="false">IF(O48="","",O48-DataRef)</f>
        <v>1673</v>
      </c>
      <c r="R48" s="111" t="str">
        <f aca="false">IF(OR(N48="Cancelado",N48="Fora de Uso"),"Inativo",IF(OR(N48="Revisão",N48="Em Elaboração"),"Em tratamento",IF(OR(N48&lt;&gt;"Aprovado",O48=""),"Validar cadastro",IF(O48&lt;DataRef,"Ação imediata",IF(O48&lt;=EDATE(DataRef,12),"Planejar revisão","Regular")))))</f>
        <v>Regular</v>
      </c>
      <c r="S48" s="111" t="str">
        <f aca="false">IF(R48="Inativo","Inativo",IF(O48="","Sem validade",IF(O48&lt;DataRef,"Vencida",IF(O48&lt;=DataRef+90,"Até 90 dias",IF(O48&lt;=EDATE(DataRef,12),"91 dias a 12 meses","Após 12 meses")))))</f>
        <v>Após 12 meses</v>
      </c>
      <c r="T48" s="114" t="n">
        <f aca="false">IF(O48="","",DATE(YEAR(O48),MONTH(O48),1))</f>
        <v>47969</v>
      </c>
      <c r="U48" s="115" t="n">
        <f aca="false">IF(R48="Ação imediata",1,IF(N48="Não encontrado",2,IF(N48="Revisão",3,IF(N48="Em Elaboração",4,IF(S48="Até 90 dias",5,IF(R48="Validar cadastro",6,0))))))</f>
        <v>0</v>
      </c>
      <c r="V48" s="111" t="str">
        <f aca="false">CHOOSE(U48+1,IF(R48="Planejar revisão","Incluir no plano anual de revisão",IF(R48="Inativo","Sem ação","Monitorar")),"Revisar ou prorrogar validade","Confirmar status no NDocs","Acompanhar revisão","Concluir elaboração","Iniciar revisão (≤ 90 dias)","Validar aplicabilidade")</f>
        <v>Monitorar</v>
      </c>
      <c r="W48" s="116" t="n">
        <f aca="false">(OR(fArea="Todas",ISNUMBER(SEARCH(fArea,G48))))*(OR(fStatus="Todos",N48=fStatus))*(OR(fSit="Todas",R48=fSit))*(OR(fResp="Todos",P48=fResp))*(OR(fHor="Todos",S48=fHor))</f>
        <v>1</v>
      </c>
      <c r="X48" s="117" t="n">
        <f aca="false">IF(AND(W48=1,U48&gt;0),(7-U48)*100000+50000-IF(ISNUMBER(Q48),Q48,0)+ROW()/1000,0)</f>
        <v>0</v>
      </c>
      <c r="Y48" s="118" t="str">
        <f aca="false">UPPER(A48&amp;" "&amp;TRIM(SUBSTITUTE(C48,CHAR(160)," "))&amp;" "&amp;TRIM(SUBSTITUTE(D48,CHAR(160)," ")))</f>
        <v>BRK-INS-01-021077-PT - DETERMINAÇÃO DE SOLÚVEIS TOTAIS EM XILENO POR VIA ÚMIDA</v>
      </c>
      <c r="Z48" s="118" t="str">
        <f aca="false">IF(qBusca="","",IF(ISNUMBER(SEARCH(TRIM(qBusca),Y48)),ROW(),""))</f>
        <v/>
      </c>
    </row>
    <row r="49" customFormat="false" ht="19.5" hidden="false" customHeight="true" outlineLevel="0" collapsed="false">
      <c r="A49" s="107" t="s">
        <v>369</v>
      </c>
      <c r="B49" s="108" t="s">
        <v>159</v>
      </c>
      <c r="C49" s="109" t="s">
        <v>370</v>
      </c>
      <c r="D49" s="109" t="s">
        <v>371</v>
      </c>
      <c r="E49" s="109" t="s">
        <v>162</v>
      </c>
      <c r="F49" s="110" t="n">
        <v>46689</v>
      </c>
      <c r="G49" s="108" t="s">
        <v>36</v>
      </c>
      <c r="H49" s="109"/>
      <c r="I49" s="109" t="s">
        <v>163</v>
      </c>
      <c r="J49" s="109"/>
      <c r="K49" s="109"/>
      <c r="L49" s="109" t="s">
        <v>372</v>
      </c>
      <c r="M49" s="108" t="n">
        <v>1</v>
      </c>
      <c r="N49" s="111" t="str">
        <f aca="false">IF(TRIM(SUBSTITUTE(E49,CHAR(160)," "))="Avaiação de uso","Avaliação de uso",IF(TRIM(SUBSTITUTE(E49,CHAR(160)," "))="Cancelada","Cancelado",TRIM(SUBSTITUTE(E49,CHAR(160)," "))))</f>
        <v>Aprovado</v>
      </c>
      <c r="O49" s="112" t="n">
        <f aca="false">IF(ISNUMBER(F49),F49,IFERROR(DATE(RIGHT(RIGHT(TRIM(F49),10),4),MID(RIGHT(TRIM(F49),10),4,2),LEFT(RIGHT(TRIM(F49),10),2)),""))</f>
        <v>46689</v>
      </c>
      <c r="P49" s="111" t="str">
        <f aca="false">PROPER(TRIM(SUBSTITUTE(I49,CHAR(160)," ")))</f>
        <v>Ana Carla Da Cruz Araujo</v>
      </c>
      <c r="Q49" s="113" t="n">
        <f aca="false">IF(O49="","",O49-DataRef)</f>
        <v>388</v>
      </c>
      <c r="R49" s="111" t="str">
        <f aca="false">IF(OR(N49="Cancelado",N49="Fora de Uso"),"Inativo",IF(OR(N49="Revisão",N49="Em Elaboração"),"Em tratamento",IF(OR(N49&lt;&gt;"Aprovado",O49=""),"Validar cadastro",IF(O49&lt;DataRef,"Ação imediata",IF(O49&lt;=EDATE(DataRef,12),"Planejar revisão","Regular")))))</f>
        <v>Regular</v>
      </c>
      <c r="S49" s="111" t="str">
        <f aca="false">IF(R49="Inativo","Inativo",IF(O49="","Sem validade",IF(O49&lt;DataRef,"Vencida",IF(O49&lt;=DataRef+90,"Até 90 dias",IF(O49&lt;=EDATE(DataRef,12),"91 dias a 12 meses","Após 12 meses")))))</f>
        <v>Após 12 meses</v>
      </c>
      <c r="T49" s="114" t="n">
        <f aca="false">IF(O49="","",DATE(YEAR(O49),MONTH(O49),1))</f>
        <v>46661</v>
      </c>
      <c r="U49" s="115" t="n">
        <f aca="false">IF(R49="Ação imediata",1,IF(N49="Não encontrado",2,IF(N49="Revisão",3,IF(N49="Em Elaboração",4,IF(S49="Até 90 dias",5,IF(R49="Validar cadastro",6,0))))))</f>
        <v>0</v>
      </c>
      <c r="V49" s="111" t="str">
        <f aca="false">CHOOSE(U49+1,IF(R49="Planejar revisão","Incluir no plano anual de revisão",IF(R49="Inativo","Sem ação","Monitorar")),"Revisar ou prorrogar validade","Confirmar status no NDocs","Acompanhar revisão","Concluir elaboração","Iniciar revisão (≤ 90 dias)","Validar aplicabilidade")</f>
        <v>Monitorar</v>
      </c>
      <c r="W49" s="116" t="n">
        <f aca="false">(OR(fArea="Todas",ISNUMBER(SEARCH(fArea,G49))))*(OR(fStatus="Todos",N49=fStatus))*(OR(fSit="Todas",R49=fSit))*(OR(fResp="Todos",P49=fResp))*(OR(fHor="Todos",S49=fHor))</f>
        <v>1</v>
      </c>
      <c r="X49" s="117" t="n">
        <f aca="false">IF(AND(W49=1,U49&gt;0),(7-U49)*100000+50000-IF(ISNUMBER(Q49),Q49,0)+ROW()/1000,0)</f>
        <v>0</v>
      </c>
      <c r="Y49" s="118" t="str">
        <f aca="false">UPPER(A49&amp;" "&amp;TRIM(SUBSTITUTE(C49,CHAR(160)," "))&amp;" "&amp;TRIM(SUBSTITUTE(D49,CHAR(160)," ")))</f>
        <v>BRK-INS-01-018900-PT IT 5020-00218 DETERMINAÇÃO DA COR REAL OU APARENTE</v>
      </c>
      <c r="Z49" s="118" t="str">
        <f aca="false">IF(qBusca="","",IF(ISNUMBER(SEARCH(TRIM(qBusca),Y49)),ROW(),""))</f>
        <v/>
      </c>
    </row>
    <row r="50" customFormat="false" ht="19.5" hidden="false" customHeight="true" outlineLevel="0" collapsed="false">
      <c r="A50" s="107" t="s">
        <v>373</v>
      </c>
      <c r="B50" s="108" t="s">
        <v>302</v>
      </c>
      <c r="C50" s="109" t="s">
        <v>365</v>
      </c>
      <c r="D50" s="109" t="s">
        <v>374</v>
      </c>
      <c r="E50" s="109" t="s">
        <v>162</v>
      </c>
      <c r="F50" s="110" t="n">
        <v>48093</v>
      </c>
      <c r="G50" s="108" t="s">
        <v>36</v>
      </c>
      <c r="H50" s="109"/>
      <c r="I50" s="109" t="s">
        <v>169</v>
      </c>
      <c r="J50" s="109"/>
      <c r="K50" s="109"/>
      <c r="L50" s="109" t="s">
        <v>375</v>
      </c>
      <c r="M50" s="108" t="n">
        <v>1</v>
      </c>
      <c r="N50" s="111" t="str">
        <f aca="false">IF(TRIM(SUBSTITUTE(E50,CHAR(160)," "))="Avaiação de uso","Avaliação de uso",IF(TRIM(SUBSTITUTE(E50,CHAR(160)," "))="Cancelada","Cancelado",TRIM(SUBSTITUTE(E50,CHAR(160)," "))))</f>
        <v>Aprovado</v>
      </c>
      <c r="O50" s="112" t="n">
        <f aca="false">IF(ISNUMBER(F50),F50,IFERROR(DATE(RIGHT(RIGHT(TRIM(F50),10),4),MID(RIGHT(TRIM(F50),10),4,2),LEFT(RIGHT(TRIM(F50),10),2)),""))</f>
        <v>48093</v>
      </c>
      <c r="P50" s="111" t="str">
        <f aca="false">PROPER(TRIM(SUBSTITUTE(I50,CHAR(160)," ")))</f>
        <v>Larissa Vicente Cardoso Guedes</v>
      </c>
      <c r="Q50" s="113" t="n">
        <f aca="false">IF(O50="","",O50-DataRef)</f>
        <v>1792</v>
      </c>
      <c r="R50" s="111" t="str">
        <f aca="false">IF(OR(N50="Cancelado",N50="Fora de Uso"),"Inativo",IF(OR(N50="Revisão",N50="Em Elaboração"),"Em tratamento",IF(OR(N50&lt;&gt;"Aprovado",O50=""),"Validar cadastro",IF(O50&lt;DataRef,"Ação imediata",IF(O50&lt;=EDATE(DataRef,12),"Planejar revisão","Regular")))))</f>
        <v>Regular</v>
      </c>
      <c r="S50" s="111" t="str">
        <f aca="false">IF(R50="Inativo","Inativo",IF(O50="","Sem validade",IF(O50&lt;DataRef,"Vencida",IF(O50&lt;=DataRef+90,"Até 90 dias",IF(O50&lt;=EDATE(DataRef,12),"91 dias a 12 meses","Após 12 meses")))))</f>
        <v>Após 12 meses</v>
      </c>
      <c r="T50" s="114" t="n">
        <f aca="false">IF(O50="","",DATE(YEAR(O50),MONTH(O50),1))</f>
        <v>48092</v>
      </c>
      <c r="U50" s="115" t="n">
        <f aca="false">IF(R50="Ação imediata",1,IF(N50="Não encontrado",2,IF(N50="Revisão",3,IF(N50="Em Elaboração",4,IF(S50="Até 90 dias",5,IF(R50="Validar cadastro",6,0))))))</f>
        <v>0</v>
      </c>
      <c r="V50" s="111" t="str">
        <f aca="false">CHOOSE(U50+1,IF(R50="Planejar revisão","Incluir no plano anual de revisão",IF(R50="Inativo","Sem ação","Monitorar")),"Revisar ou prorrogar validade","Confirmar status no NDocs","Acompanhar revisão","Concluir elaboração","Iniciar revisão (≤ 90 dias)","Validar aplicabilidade")</f>
        <v>Monitorar</v>
      </c>
      <c r="W50" s="116" t="n">
        <f aca="false">(OR(fArea="Todas",ISNUMBER(SEARCH(fArea,G50))))*(OR(fStatus="Todos",N50=fStatus))*(OR(fSit="Todas",R50=fSit))*(OR(fResp="Todos",P50=fResp))*(OR(fHor="Todos",S50=fHor))</f>
        <v>1</v>
      </c>
      <c r="X50" s="117" t="n">
        <f aca="false">IF(AND(W50=1,U50&gt;0),(7-U50)*100000+50000-IF(ISNUMBER(Q50),Q50,0)+ROW()/1000,0)</f>
        <v>0</v>
      </c>
      <c r="Y50" s="118" t="str">
        <f aca="false">UPPER(A50&amp;" "&amp;TRIM(SUBSTITUTE(C50,CHAR(160)," "))&amp;" "&amp;TRIM(SUBSTITUTE(D50,CHAR(160)," ")))</f>
        <v>BRK-INS-01-021191-PT -  ANÁLISE DE TOXICIDADE AGUDA EM EFLUENTES INDUSTRIAIS - ECOTOXICIDADE DCX</v>
      </c>
      <c r="Z50" s="118" t="str">
        <f aca="false">IF(qBusca="","",IF(ISNUMBER(SEARCH(TRIM(qBusca),Y50)),ROW(),""))</f>
        <v/>
      </c>
    </row>
    <row r="51" customFormat="false" ht="19.5" hidden="false" customHeight="true" outlineLevel="0" collapsed="false">
      <c r="A51" s="107" t="s">
        <v>376</v>
      </c>
      <c r="B51" s="108" t="s">
        <v>159</v>
      </c>
      <c r="C51" s="109" t="s">
        <v>377</v>
      </c>
      <c r="D51" s="109" t="s">
        <v>378</v>
      </c>
      <c r="E51" s="109" t="s">
        <v>162</v>
      </c>
      <c r="F51" s="110" t="n">
        <v>47785</v>
      </c>
      <c r="G51" s="108" t="s">
        <v>36</v>
      </c>
      <c r="H51" s="109" t="s">
        <v>309</v>
      </c>
      <c r="I51" s="109" t="s">
        <v>379</v>
      </c>
      <c r="J51" s="109" t="s">
        <v>380</v>
      </c>
      <c r="K51" s="109"/>
      <c r="L51" s="109" t="s">
        <v>381</v>
      </c>
      <c r="M51" s="108" t="n">
        <v>1</v>
      </c>
      <c r="N51" s="111" t="str">
        <f aca="false">IF(TRIM(SUBSTITUTE(E51,CHAR(160)," "))="Avaiação de uso","Avaliação de uso",IF(TRIM(SUBSTITUTE(E51,CHAR(160)," "))="Cancelada","Cancelado",TRIM(SUBSTITUTE(E51,CHAR(160)," "))))</f>
        <v>Aprovado</v>
      </c>
      <c r="O51" s="112" t="n">
        <f aca="false">IF(ISNUMBER(F51),F51,IFERROR(DATE(RIGHT(RIGHT(TRIM(F51),10),4),MID(RIGHT(TRIM(F51),10),4,2),LEFT(RIGHT(TRIM(F51),10),2)),""))</f>
        <v>47785</v>
      </c>
      <c r="P51" s="111" t="str">
        <f aca="false">PROPER(TRIM(SUBSTITUTE(I51,CHAR(160)," ")))</f>
        <v>Tainara Starssbuger</v>
      </c>
      <c r="Q51" s="113" t="n">
        <f aca="false">IF(O51="","",O51-DataRef)</f>
        <v>1484</v>
      </c>
      <c r="R51" s="111" t="str">
        <f aca="false">IF(OR(N51="Cancelado",N51="Fora de Uso"),"Inativo",IF(OR(N51="Revisão",N51="Em Elaboração"),"Em tratamento",IF(OR(N51&lt;&gt;"Aprovado",O51=""),"Validar cadastro",IF(O51&lt;DataRef,"Ação imediata",IF(O51&lt;=EDATE(DataRef,12),"Planejar revisão","Regular")))))</f>
        <v>Regular</v>
      </c>
      <c r="S51" s="111" t="str">
        <f aca="false">IF(R51="Inativo","Inativo",IF(O51="","Sem validade",IF(O51&lt;DataRef,"Vencida",IF(O51&lt;=DataRef+90,"Até 90 dias",IF(O51&lt;=EDATE(DataRef,12),"91 dias a 12 meses","Após 12 meses")))))</f>
        <v>Após 12 meses</v>
      </c>
      <c r="T51" s="114" t="n">
        <f aca="false">IF(O51="","",DATE(YEAR(O51),MONTH(O51),1))</f>
        <v>47757</v>
      </c>
      <c r="U51" s="115" t="n">
        <f aca="false">IF(R51="Ação imediata",1,IF(N51="Não encontrado",2,IF(N51="Revisão",3,IF(N51="Em Elaboração",4,IF(S51="Até 90 dias",5,IF(R51="Validar cadastro",6,0))))))</f>
        <v>0</v>
      </c>
      <c r="V51" s="111" t="str">
        <f aca="false">CHOOSE(U51+1,IF(R51="Planejar revisão","Incluir no plano anual de revisão",IF(R51="Inativo","Sem ação","Monitorar")),"Revisar ou prorrogar validade","Confirmar status no NDocs","Acompanhar revisão","Concluir elaboração","Iniciar revisão (≤ 90 dias)","Validar aplicabilidade")</f>
        <v>Monitorar</v>
      </c>
      <c r="W51" s="116" t="n">
        <f aca="false">(OR(fArea="Todas",ISNUMBER(SEARCH(fArea,G51))))*(OR(fStatus="Todos",N51=fStatus))*(OR(fSit="Todas",R51=fSit))*(OR(fResp="Todos",P51=fResp))*(OR(fHor="Todos",S51=fHor))</f>
        <v>1</v>
      </c>
      <c r="X51" s="117" t="n">
        <f aca="false">IF(AND(W51=1,U51&gt;0),(7-U51)*100000+50000-IF(ISNUMBER(Q51),Q51,0)+ROW()/1000,0)</f>
        <v>0</v>
      </c>
      <c r="Y51" s="118" t="str">
        <f aca="false">UPPER(A51&amp;" "&amp;TRIM(SUBSTITUTE(C51,CHAR(160)," "))&amp;" "&amp;TRIM(SUBSTITUTE(D51,CHAR(160)," ")))</f>
        <v>BRK-INS-01-014036-PT IT 5020-02043 DETERMINAÇÃO DE GOMA EM GASOLINAS E SOLVENTES</v>
      </c>
      <c r="Z51" s="118" t="str">
        <f aca="false">IF(qBusca="","",IF(ISNUMBER(SEARCH(TRIM(qBusca),Y51)),ROW(),""))</f>
        <v/>
      </c>
    </row>
    <row r="52" customFormat="false" ht="19.5" hidden="false" customHeight="true" outlineLevel="0" collapsed="false">
      <c r="A52" s="107" t="s">
        <v>382</v>
      </c>
      <c r="B52" s="108" t="s">
        <v>191</v>
      </c>
      <c r="C52" s="109" t="s">
        <v>383</v>
      </c>
      <c r="D52" s="109" t="s">
        <v>384</v>
      </c>
      <c r="E52" s="109" t="s">
        <v>162</v>
      </c>
      <c r="F52" s="110" t="n">
        <v>47864</v>
      </c>
      <c r="G52" s="108" t="s">
        <v>36</v>
      </c>
      <c r="H52" s="109" t="s">
        <v>309</v>
      </c>
      <c r="I52" s="109" t="s">
        <v>310</v>
      </c>
      <c r="J52" s="109" t="s">
        <v>385</v>
      </c>
      <c r="K52" s="109"/>
      <c r="L52" s="109" t="s">
        <v>386</v>
      </c>
      <c r="M52" s="108" t="n">
        <v>1</v>
      </c>
      <c r="N52" s="111" t="str">
        <f aca="false">IF(TRIM(SUBSTITUTE(E52,CHAR(160)," "))="Avaiação de uso","Avaliação de uso",IF(TRIM(SUBSTITUTE(E52,CHAR(160)," "))="Cancelada","Cancelado",TRIM(SUBSTITUTE(E52,CHAR(160)," "))))</f>
        <v>Aprovado</v>
      </c>
      <c r="O52" s="112" t="n">
        <f aca="false">IF(ISNUMBER(F52),F52,IFERROR(DATE(RIGHT(RIGHT(TRIM(F52),10),4),MID(RIGHT(TRIM(F52),10),4,2),LEFT(RIGHT(TRIM(F52),10),2)),""))</f>
        <v>47864</v>
      </c>
      <c r="P52" s="111" t="str">
        <f aca="false">PROPER(TRIM(SUBSTITUTE(I52,CHAR(160)," ")))</f>
        <v>Fatima Moura Guterres</v>
      </c>
      <c r="Q52" s="113" t="n">
        <f aca="false">IF(O52="","",O52-DataRef)</f>
        <v>1563</v>
      </c>
      <c r="R52" s="111" t="str">
        <f aca="false">IF(OR(N52="Cancelado",N52="Fora de Uso"),"Inativo",IF(OR(N52="Revisão",N52="Em Elaboração"),"Em tratamento",IF(OR(N52&lt;&gt;"Aprovado",O52=""),"Validar cadastro",IF(O52&lt;DataRef,"Ação imediata",IF(O52&lt;=EDATE(DataRef,12),"Planejar revisão","Regular")))))</f>
        <v>Regular</v>
      </c>
      <c r="S52" s="111" t="str">
        <f aca="false">IF(R52="Inativo","Inativo",IF(O52="","Sem validade",IF(O52&lt;DataRef,"Vencida",IF(O52&lt;=DataRef+90,"Até 90 dias",IF(O52&lt;=EDATE(DataRef,12),"91 dias a 12 meses","Após 12 meses")))))</f>
        <v>Após 12 meses</v>
      </c>
      <c r="T52" s="114" t="n">
        <f aca="false">IF(O52="","",DATE(YEAR(O52),MONTH(O52),1))</f>
        <v>47849</v>
      </c>
      <c r="U52" s="115" t="n">
        <f aca="false">IF(R52="Ação imediata",1,IF(N52="Não encontrado",2,IF(N52="Revisão",3,IF(N52="Em Elaboração",4,IF(S52="Até 90 dias",5,IF(R52="Validar cadastro",6,0))))))</f>
        <v>0</v>
      </c>
      <c r="V52" s="111" t="str">
        <f aca="false">CHOOSE(U52+1,IF(R52="Planejar revisão","Incluir no plano anual de revisão",IF(R52="Inativo","Sem ação","Monitorar")),"Revisar ou prorrogar validade","Confirmar status no NDocs","Acompanhar revisão","Concluir elaboração","Iniciar revisão (≤ 90 dias)","Validar aplicabilidade")</f>
        <v>Monitorar</v>
      </c>
      <c r="W52" s="116" t="n">
        <f aca="false">(OR(fArea="Todas",ISNUMBER(SEARCH(fArea,G52))))*(OR(fStatus="Todos",N52=fStatus))*(OR(fSit="Todas",R52=fSit))*(OR(fResp="Todos",P52=fResp))*(OR(fHor="Todos",S52=fHor))</f>
        <v>1</v>
      </c>
      <c r="X52" s="117" t="n">
        <f aca="false">IF(AND(W52=1,U52&gt;0),(7-U52)*100000+50000-IF(ISNUMBER(Q52),Q52,0)+ROW()/1000,0)</f>
        <v>0</v>
      </c>
      <c r="Y52" s="118" t="str">
        <f aca="false">UPPER(A52&amp;" "&amp;TRIM(SUBSTITUTE(C52,CHAR(160)," "))&amp;" "&amp;TRIM(SUBSTITUTE(D52,CHAR(160)," ")))</f>
        <v>BRK-INS-01-010120-PT IT 5020-00249 DETERMINAÇÃO DE HIDROGÊNIO E/ OU OUTROS GASES FIXOS POR CROMATOGRAFIA EM FASE GASOSA</v>
      </c>
      <c r="Z52" s="118" t="str">
        <f aca="false">IF(qBusca="","",IF(ISNUMBER(SEARCH(TRIM(qBusca),Y52)),ROW(),""))</f>
        <v/>
      </c>
    </row>
    <row r="53" customFormat="false" ht="19.5" hidden="false" customHeight="true" outlineLevel="0" collapsed="false">
      <c r="A53" s="107" t="s">
        <v>387</v>
      </c>
      <c r="B53" s="108" t="s">
        <v>176</v>
      </c>
      <c r="C53" s="109" t="s">
        <v>388</v>
      </c>
      <c r="D53" s="109" t="s">
        <v>389</v>
      </c>
      <c r="E53" s="109" t="s">
        <v>390</v>
      </c>
      <c r="F53" s="110" t="n">
        <v>48074</v>
      </c>
      <c r="G53" s="108" t="s">
        <v>36</v>
      </c>
      <c r="H53" s="109" t="s">
        <v>309</v>
      </c>
      <c r="I53" s="109" t="s">
        <v>391</v>
      </c>
      <c r="J53" s="109" t="s">
        <v>392</v>
      </c>
      <c r="K53" s="109"/>
      <c r="L53" s="109" t="s">
        <v>393</v>
      </c>
      <c r="M53" s="108" t="n">
        <v>1</v>
      </c>
      <c r="N53" s="111" t="str">
        <f aca="false">IF(TRIM(SUBSTITUTE(E53,CHAR(160)," "))="Avaiação de uso","Avaliação de uso",IF(TRIM(SUBSTITUTE(E53,CHAR(160)," "))="Cancelada","Cancelado",TRIM(SUBSTITUTE(E53,CHAR(160)," "))))</f>
        <v>Fora de Uso</v>
      </c>
      <c r="O53" s="112" t="n">
        <f aca="false">IF(ISNUMBER(F53),F53,IFERROR(DATE(RIGHT(RIGHT(TRIM(F53),10),4),MID(RIGHT(TRIM(F53),10),4,2),LEFT(RIGHT(TRIM(F53),10),2)),""))</f>
        <v>48074</v>
      </c>
      <c r="P53" s="111" t="str">
        <f aca="false">PROPER(TRIM(SUBSTITUTE(I53,CHAR(160)," ")))</f>
        <v>Daniel Cesar De Abreu</v>
      </c>
      <c r="Q53" s="113" t="n">
        <f aca="false">IF(O53="","",O53-DataRef)</f>
        <v>1773</v>
      </c>
      <c r="R53" s="111" t="str">
        <f aca="false">IF(OR(N53="Cancelado",N53="Fora de Uso"),"Inativo",IF(OR(N53="Revisão",N53="Em Elaboração"),"Em tratamento",IF(OR(N53&lt;&gt;"Aprovado",O53=""),"Validar cadastro",IF(O53&lt;DataRef,"Ação imediata",IF(O53&lt;=EDATE(DataRef,12),"Planejar revisão","Regular")))))</f>
        <v>Inativo</v>
      </c>
      <c r="S53" s="111" t="str">
        <f aca="false">IF(R53="Inativo","Inativo",IF(O53="","Sem validade",IF(O53&lt;DataRef,"Vencida",IF(O53&lt;=DataRef+90,"Até 90 dias",IF(O53&lt;=EDATE(DataRef,12),"91 dias a 12 meses","Após 12 meses")))))</f>
        <v>Inativo</v>
      </c>
      <c r="T53" s="114" t="n">
        <f aca="false">IF(O53="","",DATE(YEAR(O53),MONTH(O53),1))</f>
        <v>48061</v>
      </c>
      <c r="U53" s="115" t="n">
        <f aca="false">IF(R53="Ação imediata",1,IF(N53="Não encontrado",2,IF(N53="Revisão",3,IF(N53="Em Elaboração",4,IF(S53="Até 90 dias",5,IF(R53="Validar cadastro",6,0))))))</f>
        <v>0</v>
      </c>
      <c r="V53" s="111" t="str">
        <f aca="false">CHOOSE(U53+1,IF(R53="Planejar revisão","Incluir no plano anual de revisão",IF(R53="Inativo","Sem ação","Monitorar")),"Revisar ou prorrogar validade","Confirmar status no NDocs","Acompanhar revisão","Concluir elaboração","Iniciar revisão (≤ 90 dias)","Validar aplicabilidade")</f>
        <v>Sem ação</v>
      </c>
      <c r="W53" s="116" t="n">
        <f aca="false">(OR(fArea="Todas",ISNUMBER(SEARCH(fArea,G53))))*(OR(fStatus="Todos",N53=fStatus))*(OR(fSit="Todas",R53=fSit))*(OR(fResp="Todos",P53=fResp))*(OR(fHor="Todos",S53=fHor))</f>
        <v>1</v>
      </c>
      <c r="X53" s="117" t="n">
        <f aca="false">IF(AND(W53=1,U53&gt;0),(7-U53)*100000+50000-IF(ISNUMBER(Q53),Q53,0)+ROW()/1000,0)</f>
        <v>0</v>
      </c>
      <c r="Y53" s="118" t="str">
        <f aca="false">UPPER(A53&amp;" "&amp;TRIM(SUBSTITUTE(C53,CHAR(160)," "))&amp;" "&amp;TRIM(SUBSTITUTE(D53,CHAR(160)," ")))</f>
        <v>BRK-INS-01-010835-PT IT 5020-01060 COMPOSTOS OXIGENADOS EM HIDROCARBONETOS LÍQUIDOS POR CROMATOGRAFIA GASOSA E DETECTOR FID</v>
      </c>
      <c r="Z53" s="118" t="str">
        <f aca="false">IF(qBusca="","",IF(ISNUMBER(SEARCH(TRIM(qBusca),Y53)),ROW(),""))</f>
        <v/>
      </c>
    </row>
    <row r="54" customFormat="false" ht="19.5" hidden="false" customHeight="true" outlineLevel="0" collapsed="false">
      <c r="A54" s="107" t="s">
        <v>394</v>
      </c>
      <c r="B54" s="108" t="s">
        <v>176</v>
      </c>
      <c r="C54" s="109" t="s">
        <v>395</v>
      </c>
      <c r="D54" s="109" t="s">
        <v>396</v>
      </c>
      <c r="E54" s="109" t="s">
        <v>162</v>
      </c>
      <c r="F54" s="110" t="n">
        <v>46754</v>
      </c>
      <c r="G54" s="108" t="s">
        <v>36</v>
      </c>
      <c r="H54" s="109" t="s">
        <v>309</v>
      </c>
      <c r="I54" s="109" t="s">
        <v>310</v>
      </c>
      <c r="J54" s="109" t="s">
        <v>397</v>
      </c>
      <c r="K54" s="109"/>
      <c r="L54" s="109" t="s">
        <v>398</v>
      </c>
      <c r="M54" s="108" t="n">
        <v>1</v>
      </c>
      <c r="N54" s="111" t="str">
        <f aca="false">IF(TRIM(SUBSTITUTE(E54,CHAR(160)," "))="Avaiação de uso","Avaliação de uso",IF(TRIM(SUBSTITUTE(E54,CHAR(160)," "))="Cancelada","Cancelado",TRIM(SUBSTITUTE(E54,CHAR(160)," "))))</f>
        <v>Aprovado</v>
      </c>
      <c r="O54" s="112" t="n">
        <f aca="false">IF(ISNUMBER(F54),F54,IFERROR(DATE(RIGHT(RIGHT(TRIM(F54),10),4),MID(RIGHT(TRIM(F54),10),4,2),LEFT(RIGHT(TRIM(F54),10),2)),""))</f>
        <v>46754</v>
      </c>
      <c r="P54" s="111" t="str">
        <f aca="false">PROPER(TRIM(SUBSTITUTE(I54,CHAR(160)," ")))</f>
        <v>Fatima Moura Guterres</v>
      </c>
      <c r="Q54" s="113" t="n">
        <f aca="false">IF(O54="","",O54-DataRef)</f>
        <v>453</v>
      </c>
      <c r="R54" s="111" t="str">
        <f aca="false">IF(OR(N54="Cancelado",N54="Fora de Uso"),"Inativo",IF(OR(N54="Revisão",N54="Em Elaboração"),"Em tratamento",IF(OR(N54&lt;&gt;"Aprovado",O54=""),"Validar cadastro",IF(O54&lt;DataRef,"Ação imediata",IF(O54&lt;=EDATE(DataRef,12),"Planejar revisão","Regular")))))</f>
        <v>Regular</v>
      </c>
      <c r="S54" s="111" t="str">
        <f aca="false">IF(R54="Inativo","Inativo",IF(O54="","Sem validade",IF(O54&lt;DataRef,"Vencida",IF(O54&lt;=DataRef+90,"Até 90 dias",IF(O54&lt;=EDATE(DataRef,12),"91 dias a 12 meses","Após 12 meses")))))</f>
        <v>Após 12 meses</v>
      </c>
      <c r="T54" s="114" t="n">
        <f aca="false">IF(O54="","",DATE(YEAR(O54),MONTH(O54),1))</f>
        <v>46753</v>
      </c>
      <c r="U54" s="115" t="n">
        <f aca="false">IF(R54="Ação imediata",1,IF(N54="Não encontrado",2,IF(N54="Revisão",3,IF(N54="Em Elaboração",4,IF(S54="Até 90 dias",5,IF(R54="Validar cadastro",6,0))))))</f>
        <v>0</v>
      </c>
      <c r="V54" s="111" t="str">
        <f aca="false">CHOOSE(U54+1,IF(R54="Planejar revisão","Incluir no plano anual de revisão",IF(R54="Inativo","Sem ação","Monitorar")),"Revisar ou prorrogar validade","Confirmar status no NDocs","Acompanhar revisão","Concluir elaboração","Iniciar revisão (≤ 90 dias)","Validar aplicabilidade")</f>
        <v>Monitorar</v>
      </c>
      <c r="W54" s="116" t="n">
        <f aca="false">(OR(fArea="Todas",ISNUMBER(SEARCH(fArea,G54))))*(OR(fStatus="Todos",N54=fStatus))*(OR(fSit="Todas",R54=fSit))*(OR(fResp="Todos",P54=fResp))*(OR(fHor="Todos",S54=fHor))</f>
        <v>1</v>
      </c>
      <c r="X54" s="117" t="n">
        <f aca="false">IF(AND(W54=1,U54&gt;0),(7-U54)*100000+50000-IF(ISNUMBER(Q54),Q54,0)+ROW()/1000,0)</f>
        <v>0</v>
      </c>
      <c r="Y54" s="118" t="str">
        <f aca="false">UPPER(A54&amp;" "&amp;TRIM(SUBSTITUTE(C54,CHAR(160)," "))&amp;" "&amp;TRIM(SUBSTITUTE(D54,CHAR(160)," ")))</f>
        <v>BRK-INS-01-011537-PT IT 5020-01254 DETERMINAÇÃO DE COMPOSTOS SULFURADOS EM HC GASOSOS OU LIQUEFEITOS POR CG E DETECÇÃO POR QUIMILUMINÊSCENCIA</v>
      </c>
      <c r="Z54" s="118" t="str">
        <f aca="false">IF(qBusca="","",IF(ISNUMBER(SEARCH(TRIM(qBusca),Y54)),ROW(),""))</f>
        <v/>
      </c>
    </row>
    <row r="55" customFormat="false" ht="19.5" hidden="false" customHeight="true" outlineLevel="0" collapsed="false">
      <c r="A55" s="107" t="s">
        <v>399</v>
      </c>
      <c r="B55" s="108" t="s">
        <v>235</v>
      </c>
      <c r="C55" s="109" t="s">
        <v>400</v>
      </c>
      <c r="D55" s="109" t="s">
        <v>401</v>
      </c>
      <c r="E55" s="109" t="s">
        <v>162</v>
      </c>
      <c r="F55" s="110" t="n">
        <v>47982</v>
      </c>
      <c r="G55" s="108" t="s">
        <v>36</v>
      </c>
      <c r="H55" s="109" t="s">
        <v>309</v>
      </c>
      <c r="I55" s="109" t="s">
        <v>310</v>
      </c>
      <c r="J55" s="109" t="s">
        <v>402</v>
      </c>
      <c r="K55" s="109"/>
      <c r="L55" s="109" t="s">
        <v>403</v>
      </c>
      <c r="M55" s="108" t="n">
        <v>1</v>
      </c>
      <c r="N55" s="111" t="str">
        <f aca="false">IF(TRIM(SUBSTITUTE(E55,CHAR(160)," "))="Avaiação de uso","Avaliação de uso",IF(TRIM(SUBSTITUTE(E55,CHAR(160)," "))="Cancelada","Cancelado",TRIM(SUBSTITUTE(E55,CHAR(160)," "))))</f>
        <v>Aprovado</v>
      </c>
      <c r="O55" s="112" t="n">
        <f aca="false">IF(ISNUMBER(F55),F55,IFERROR(DATE(RIGHT(RIGHT(TRIM(F55),10),4),MID(RIGHT(TRIM(F55),10),4,2),LEFT(RIGHT(TRIM(F55),10),2)),""))</f>
        <v>47982</v>
      </c>
      <c r="P55" s="111" t="str">
        <f aca="false">PROPER(TRIM(SUBSTITUTE(I55,CHAR(160)," ")))</f>
        <v>Fatima Moura Guterres</v>
      </c>
      <c r="Q55" s="113" t="n">
        <f aca="false">IF(O55="","",O55-DataRef)</f>
        <v>1681</v>
      </c>
      <c r="R55" s="111" t="str">
        <f aca="false">IF(OR(N55="Cancelado",N55="Fora de Uso"),"Inativo",IF(OR(N55="Revisão",N55="Em Elaboração"),"Em tratamento",IF(OR(N55&lt;&gt;"Aprovado",O55=""),"Validar cadastro",IF(O55&lt;DataRef,"Ação imediata",IF(O55&lt;=EDATE(DataRef,12),"Planejar revisão","Regular")))))</f>
        <v>Regular</v>
      </c>
      <c r="S55" s="111" t="str">
        <f aca="false">IF(R55="Inativo","Inativo",IF(O55="","Sem validade",IF(O55&lt;DataRef,"Vencida",IF(O55&lt;=DataRef+90,"Até 90 dias",IF(O55&lt;=EDATE(DataRef,12),"91 dias a 12 meses","Após 12 meses")))))</f>
        <v>Após 12 meses</v>
      </c>
      <c r="T55" s="114" t="n">
        <f aca="false">IF(O55="","",DATE(YEAR(O55),MONTH(O55),1))</f>
        <v>47969</v>
      </c>
      <c r="U55" s="115" t="n">
        <f aca="false">IF(R55="Ação imediata",1,IF(N55="Não encontrado",2,IF(N55="Revisão",3,IF(N55="Em Elaboração",4,IF(S55="Até 90 dias",5,IF(R55="Validar cadastro",6,0))))))</f>
        <v>0</v>
      </c>
      <c r="V55" s="111" t="str">
        <f aca="false">CHOOSE(U55+1,IF(R55="Planejar revisão","Incluir no plano anual de revisão",IF(R55="Inativo","Sem ação","Monitorar")),"Revisar ou prorrogar validade","Confirmar status no NDocs","Acompanhar revisão","Concluir elaboração","Iniciar revisão (≤ 90 dias)","Validar aplicabilidade")</f>
        <v>Monitorar</v>
      </c>
      <c r="W55" s="116" t="n">
        <f aca="false">(OR(fArea="Todas",ISNUMBER(SEARCH(fArea,G55))))*(OR(fStatus="Todos",N55=fStatus))*(OR(fSit="Todas",R55=fSit))*(OR(fResp="Todos",P55=fResp))*(OR(fHor="Todos",S55=fHor))</f>
        <v>1</v>
      </c>
      <c r="X55" s="117" t="n">
        <f aca="false">IF(AND(W55=1,U55&gt;0),(7-U55)*100000+50000-IF(ISNUMBER(Q55),Q55,0)+ROW()/1000,0)</f>
        <v>0</v>
      </c>
      <c r="Y55" s="118" t="str">
        <f aca="false">UPPER(A55&amp;" "&amp;TRIM(SUBSTITUTE(C55,CHAR(160)," "))&amp;" "&amp;TRIM(SUBSTITUTE(D55,CHAR(160)," ")))</f>
        <v>BRK-INS-01-016214-PT IT 5020-00169 DETERMINAÇÃO DE ENXOFRE TOTAL POR FLUORESCÊNCIA</v>
      </c>
      <c r="Z55" s="118" t="str">
        <f aca="false">IF(qBusca="","",IF(ISNUMBER(SEARCH(TRIM(qBusca),Y55)),ROW(),""))</f>
        <v/>
      </c>
    </row>
    <row r="56" customFormat="false" ht="19.5" hidden="false" customHeight="true" outlineLevel="0" collapsed="false">
      <c r="A56" s="107" t="s">
        <v>404</v>
      </c>
      <c r="B56" s="108" t="s">
        <v>191</v>
      </c>
      <c r="C56" s="109" t="s">
        <v>405</v>
      </c>
      <c r="D56" s="109" t="s">
        <v>406</v>
      </c>
      <c r="E56" s="109" t="s">
        <v>162</v>
      </c>
      <c r="F56" s="110" t="n">
        <v>48032</v>
      </c>
      <c r="G56" s="108" t="s">
        <v>36</v>
      </c>
      <c r="H56" s="109" t="s">
        <v>309</v>
      </c>
      <c r="I56" s="109" t="s">
        <v>310</v>
      </c>
      <c r="J56" s="109" t="s">
        <v>407</v>
      </c>
      <c r="K56" s="109"/>
      <c r="L56" s="109" t="s">
        <v>408</v>
      </c>
      <c r="M56" s="108" t="n">
        <v>1</v>
      </c>
      <c r="N56" s="111" t="str">
        <f aca="false">IF(TRIM(SUBSTITUTE(E56,CHAR(160)," "))="Avaiação de uso","Avaliação de uso",IF(TRIM(SUBSTITUTE(E56,CHAR(160)," "))="Cancelada","Cancelado",TRIM(SUBSTITUTE(E56,CHAR(160)," "))))</f>
        <v>Aprovado</v>
      </c>
      <c r="O56" s="112" t="n">
        <f aca="false">IF(ISNUMBER(F56),F56,IFERROR(DATE(RIGHT(RIGHT(TRIM(F56),10),4),MID(RIGHT(TRIM(F56),10),4,2),LEFT(RIGHT(TRIM(F56),10),2)),""))</f>
        <v>48032</v>
      </c>
      <c r="P56" s="111" t="str">
        <f aca="false">PROPER(TRIM(SUBSTITUTE(I56,CHAR(160)," ")))</f>
        <v>Fatima Moura Guterres</v>
      </c>
      <c r="Q56" s="113" t="n">
        <f aca="false">IF(O56="","",O56-DataRef)</f>
        <v>1731</v>
      </c>
      <c r="R56" s="111" t="str">
        <f aca="false">IF(OR(N56="Cancelado",N56="Fora de Uso"),"Inativo",IF(OR(N56="Revisão",N56="Em Elaboração"),"Em tratamento",IF(OR(N56&lt;&gt;"Aprovado",O56=""),"Validar cadastro",IF(O56&lt;DataRef,"Ação imediata",IF(O56&lt;=EDATE(DataRef,12),"Planejar revisão","Regular")))))</f>
        <v>Regular</v>
      </c>
      <c r="S56" s="111" t="str">
        <f aca="false">IF(R56="Inativo","Inativo",IF(O56="","Sem validade",IF(O56&lt;DataRef,"Vencida",IF(O56&lt;=DataRef+90,"Até 90 dias",IF(O56&lt;=EDATE(DataRef,12),"91 dias a 12 meses","Após 12 meses")))))</f>
        <v>Após 12 meses</v>
      </c>
      <c r="T56" s="114" t="n">
        <f aca="false">IF(O56="","",DATE(YEAR(O56),MONTH(O56),1))</f>
        <v>48030</v>
      </c>
      <c r="U56" s="115" t="n">
        <f aca="false">IF(R56="Ação imediata",1,IF(N56="Não encontrado",2,IF(N56="Revisão",3,IF(N56="Em Elaboração",4,IF(S56="Até 90 dias",5,IF(R56="Validar cadastro",6,0))))))</f>
        <v>0</v>
      </c>
      <c r="V56" s="111" t="str">
        <f aca="false">CHOOSE(U56+1,IF(R56="Planejar revisão","Incluir no plano anual de revisão",IF(R56="Inativo","Sem ação","Monitorar")),"Revisar ou prorrogar validade","Confirmar status no NDocs","Acompanhar revisão","Concluir elaboração","Iniciar revisão (≤ 90 dias)","Validar aplicabilidade")</f>
        <v>Monitorar</v>
      </c>
      <c r="W56" s="116" t="n">
        <f aca="false">(OR(fArea="Todas",ISNUMBER(SEARCH(fArea,G56))))*(OR(fStatus="Todos",N56=fStatus))*(OR(fSit="Todas",R56=fSit))*(OR(fResp="Todos",P56=fResp))*(OR(fHor="Todos",S56=fHor))</f>
        <v>1</v>
      </c>
      <c r="X56" s="117" t="n">
        <f aca="false">IF(AND(W56=1,U56&gt;0),(7-U56)*100000+50000-IF(ISNUMBER(Q56),Q56,0)+ROW()/1000,0)</f>
        <v>0</v>
      </c>
      <c r="Y56" s="118" t="str">
        <f aca="false">UPPER(A56&amp;" "&amp;TRIM(SUBSTITUTE(C56,CHAR(160)," "))&amp;" "&amp;TRIM(SUBSTITUTE(D56,CHAR(160)," ")))</f>
        <v>BRK-INS-01-016270-PT IT 5020-00183 DETERMINAÇÃO DE OXIDOS DE CARBONO POR CROMATOGRAFIA GASOSA</v>
      </c>
      <c r="Z56" s="118" t="str">
        <f aca="false">IF(qBusca="","",IF(ISNUMBER(SEARCH(TRIM(qBusca),Y56)),ROW(),""))</f>
        <v/>
      </c>
    </row>
    <row r="57" customFormat="false" ht="19.5" hidden="false" customHeight="true" outlineLevel="0" collapsed="false">
      <c r="A57" s="107" t="s">
        <v>409</v>
      </c>
      <c r="B57" s="108" t="s">
        <v>159</v>
      </c>
      <c r="C57" s="109" t="s">
        <v>410</v>
      </c>
      <c r="D57" s="109" t="s">
        <v>411</v>
      </c>
      <c r="E57" s="109" t="s">
        <v>162</v>
      </c>
      <c r="F57" s="110" t="n">
        <v>47937</v>
      </c>
      <c r="G57" s="108" t="s">
        <v>36</v>
      </c>
      <c r="H57" s="109" t="s">
        <v>309</v>
      </c>
      <c r="I57" s="109" t="s">
        <v>412</v>
      </c>
      <c r="J57" s="109"/>
      <c r="K57" s="109"/>
      <c r="L57" s="109" t="s">
        <v>413</v>
      </c>
      <c r="M57" s="108" t="n">
        <v>1</v>
      </c>
      <c r="N57" s="111" t="str">
        <f aca="false">IF(TRIM(SUBSTITUTE(E57,CHAR(160)," "))="Avaiação de uso","Avaliação de uso",IF(TRIM(SUBSTITUTE(E57,CHAR(160)," "))="Cancelada","Cancelado",TRIM(SUBSTITUTE(E57,CHAR(160)," "))))</f>
        <v>Aprovado</v>
      </c>
      <c r="O57" s="112" t="n">
        <f aca="false">IF(ISNUMBER(F57),F57,IFERROR(DATE(RIGHT(RIGHT(TRIM(F57),10),4),MID(RIGHT(TRIM(F57),10),4,2),LEFT(RIGHT(TRIM(F57),10),2)),""))</f>
        <v>47937</v>
      </c>
      <c r="P57" s="111" t="str">
        <f aca="false">PROPER(TRIM(SUBSTITUTE(I57,CHAR(160)," ")))</f>
        <v>Gabrielle Cristina Candido Pereira</v>
      </c>
      <c r="Q57" s="113" t="n">
        <f aca="false">IF(O57="","",O57-DataRef)</f>
        <v>1636</v>
      </c>
      <c r="R57" s="111" t="str">
        <f aca="false">IF(OR(N57="Cancelado",N57="Fora de Uso"),"Inativo",IF(OR(N57="Revisão",N57="Em Elaboração"),"Em tratamento",IF(OR(N57&lt;&gt;"Aprovado",O57=""),"Validar cadastro",IF(O57&lt;DataRef,"Ação imediata",IF(O57&lt;=EDATE(DataRef,12),"Planejar revisão","Regular")))))</f>
        <v>Regular</v>
      </c>
      <c r="S57" s="111" t="str">
        <f aca="false">IF(R57="Inativo","Inativo",IF(O57="","Sem validade",IF(O57&lt;DataRef,"Vencida",IF(O57&lt;=DataRef+90,"Até 90 dias",IF(O57&lt;=EDATE(DataRef,12),"91 dias a 12 meses","Após 12 meses")))))</f>
        <v>Após 12 meses</v>
      </c>
      <c r="T57" s="114" t="n">
        <f aca="false">IF(O57="","",DATE(YEAR(O57),MONTH(O57),1))</f>
        <v>47908</v>
      </c>
      <c r="U57" s="115" t="n">
        <f aca="false">IF(R57="Ação imediata",1,IF(N57="Não encontrado",2,IF(N57="Revisão",3,IF(N57="Em Elaboração",4,IF(S57="Até 90 dias",5,IF(R57="Validar cadastro",6,0))))))</f>
        <v>0</v>
      </c>
      <c r="V57" s="111" t="str">
        <f aca="false">CHOOSE(U57+1,IF(R57="Planejar revisão","Incluir no plano anual de revisão",IF(R57="Inativo","Sem ação","Monitorar")),"Revisar ou prorrogar validade","Confirmar status no NDocs","Acompanhar revisão","Concluir elaboração","Iniciar revisão (≤ 90 dias)","Validar aplicabilidade")</f>
        <v>Monitorar</v>
      </c>
      <c r="W57" s="116" t="n">
        <f aca="false">(OR(fArea="Todas",ISNUMBER(SEARCH(fArea,G57))))*(OR(fStatus="Todos",N57=fStatus))*(OR(fSit="Todas",R57=fSit))*(OR(fResp="Todos",P57=fResp))*(OR(fHor="Todos",S57=fHor))</f>
        <v>1</v>
      </c>
      <c r="X57" s="117" t="n">
        <f aca="false">IF(AND(W57=1,U57&gt;0),(7-U57)*100000+50000-IF(ISNUMBER(Q57),Q57,0)+ROW()/1000,0)</f>
        <v>0</v>
      </c>
      <c r="Y57" s="118" t="str">
        <f aca="false">UPPER(A57&amp;" "&amp;TRIM(SUBSTITUTE(C57,CHAR(160)," "))&amp;" "&amp;TRIM(SUBSTITUTE(D57,CHAR(160)," ")))</f>
        <v>BRK-INS-01-018920-PT IT 5020-01083 RESÍDUO NÃO-VOLÁTIL EM GASES LIQUEFEITOS DE PETRÓLEO</v>
      </c>
      <c r="Z57" s="118" t="str">
        <f aca="false">IF(qBusca="","",IF(ISNUMBER(SEARCH(TRIM(qBusca),Y57)),ROW(),""))</f>
        <v/>
      </c>
    </row>
    <row r="58" customFormat="false" ht="19.5" hidden="false" customHeight="true" outlineLevel="0" collapsed="false">
      <c r="A58" s="107" t="s">
        <v>414</v>
      </c>
      <c r="B58" s="108" t="s">
        <v>176</v>
      </c>
      <c r="C58" s="109" t="s">
        <v>415</v>
      </c>
      <c r="D58" s="109" t="s">
        <v>416</v>
      </c>
      <c r="E58" s="109" t="s">
        <v>162</v>
      </c>
      <c r="F58" s="110" t="n">
        <v>46461</v>
      </c>
      <c r="G58" s="108" t="s">
        <v>36</v>
      </c>
      <c r="H58" s="109" t="s">
        <v>309</v>
      </c>
      <c r="I58" s="109" t="s">
        <v>310</v>
      </c>
      <c r="J58" s="109" t="s">
        <v>417</v>
      </c>
      <c r="K58" s="109"/>
      <c r="L58" s="109" t="s">
        <v>418</v>
      </c>
      <c r="M58" s="108" t="n">
        <v>1</v>
      </c>
      <c r="N58" s="111" t="str">
        <f aca="false">IF(TRIM(SUBSTITUTE(E58,CHAR(160)," "))="Avaiação de uso","Avaliação de uso",IF(TRIM(SUBSTITUTE(E58,CHAR(160)," "))="Cancelada","Cancelado",TRIM(SUBSTITUTE(E58,CHAR(160)," "))))</f>
        <v>Aprovado</v>
      </c>
      <c r="O58" s="112" t="n">
        <f aca="false">IF(ISNUMBER(F58),F58,IFERROR(DATE(RIGHT(RIGHT(TRIM(F58),10),4),MID(RIGHT(TRIM(F58),10),4,2),LEFT(RIGHT(TRIM(F58),10),2)),""))</f>
        <v>46461</v>
      </c>
      <c r="P58" s="111" t="str">
        <f aca="false">PROPER(TRIM(SUBSTITUTE(I58,CHAR(160)," ")))</f>
        <v>Fatima Moura Guterres</v>
      </c>
      <c r="Q58" s="113" t="n">
        <f aca="false">IF(O58="","",O58-DataRef)</f>
        <v>160</v>
      </c>
      <c r="R58" s="111" t="str">
        <f aca="false">IF(OR(N58="Cancelado",N58="Fora de Uso"),"Inativo",IF(OR(N58="Revisão",N58="Em Elaboração"),"Em tratamento",IF(OR(N58&lt;&gt;"Aprovado",O58=""),"Validar cadastro",IF(O58&lt;DataRef,"Ação imediata",IF(O58&lt;=EDATE(DataRef,12),"Planejar revisão","Regular")))))</f>
        <v>Planejar revisão</v>
      </c>
      <c r="S58" s="111" t="str">
        <f aca="false">IF(R58="Inativo","Inativo",IF(O58="","Sem validade",IF(O58&lt;DataRef,"Vencida",IF(O58&lt;=DataRef+90,"Até 90 dias",IF(O58&lt;=EDATE(DataRef,12),"91 dias a 12 meses","Após 12 meses")))))</f>
        <v>91 dias a 12 meses</v>
      </c>
      <c r="T58" s="114" t="n">
        <f aca="false">IF(O58="","",DATE(YEAR(O58),MONTH(O58),1))</f>
        <v>46447</v>
      </c>
      <c r="U58" s="115" t="n">
        <f aca="false">IF(R58="Ação imediata",1,IF(N58="Não encontrado",2,IF(N58="Revisão",3,IF(N58="Em Elaboração",4,IF(S58="Até 90 dias",5,IF(R58="Validar cadastro",6,0))))))</f>
        <v>0</v>
      </c>
      <c r="V58" s="111" t="str">
        <f aca="false">CHOOSE(U58+1,IF(R58="Planejar revisão","Incluir no plano anual de revisão",IF(R58="Inativo","Sem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58" s="116" t="n">
        <f aca="false">(OR(fArea="Todas",ISNUMBER(SEARCH(fArea,G58))))*(OR(fStatus="Todos",N58=fStatus))*(OR(fSit="Todas",R58=fSit))*(OR(fResp="Todos",P58=fResp))*(OR(fHor="Todos",S58=fHor))</f>
        <v>1</v>
      </c>
      <c r="X58" s="117" t="n">
        <f aca="false">IF(AND(W58=1,U58&gt;0),(7-U58)*100000+50000-IF(ISNUMBER(Q58),Q58,0)+ROW()/1000,0)</f>
        <v>0</v>
      </c>
      <c r="Y58" s="118" t="str">
        <f aca="false">UPPER(A58&amp;" "&amp;TRIM(SUBSTITUTE(C58,CHAR(160)," "))&amp;" "&amp;TRIM(SUBSTITUTE(D58,CHAR(160)," ")))</f>
        <v>BRK-INS-01-011759-PT IT 5020-01328 DETERMINAÇÃO DE HIDROCARBONETOS CONTAMINANTES NO PROPENO POR CROMATOGRAFIA GASOSA</v>
      </c>
      <c r="Z58" s="118" t="str">
        <f aca="false">IF(qBusca="","",IF(ISNUMBER(SEARCH(TRIM(qBusca),Y58)),ROW(),""))</f>
        <v/>
      </c>
    </row>
    <row r="59" customFormat="false" ht="19.5" hidden="false" customHeight="true" outlineLevel="0" collapsed="false">
      <c r="A59" s="107" t="s">
        <v>419</v>
      </c>
      <c r="B59" s="108" t="s">
        <v>159</v>
      </c>
      <c r="C59" s="109" t="s">
        <v>420</v>
      </c>
      <c r="D59" s="109" t="s">
        <v>421</v>
      </c>
      <c r="E59" s="109" t="s">
        <v>162</v>
      </c>
      <c r="F59" s="110" t="n">
        <v>46886</v>
      </c>
      <c r="G59" s="108" t="s">
        <v>36</v>
      </c>
      <c r="H59" s="109" t="s">
        <v>309</v>
      </c>
      <c r="I59" s="109" t="s">
        <v>310</v>
      </c>
      <c r="J59" s="109" t="s">
        <v>422</v>
      </c>
      <c r="K59" s="109"/>
      <c r="L59" s="109" t="s">
        <v>423</v>
      </c>
      <c r="M59" s="108" t="n">
        <v>1</v>
      </c>
      <c r="N59" s="111" t="str">
        <f aca="false">IF(TRIM(SUBSTITUTE(E59,CHAR(160)," "))="Avaiação de uso","Avaliação de uso",IF(TRIM(SUBSTITUTE(E59,CHAR(160)," "))="Cancelada","Cancelado",TRIM(SUBSTITUTE(E59,CHAR(160)," "))))</f>
        <v>Aprovado</v>
      </c>
      <c r="O59" s="112" t="n">
        <f aca="false">IF(ISNUMBER(F59),F59,IFERROR(DATE(RIGHT(RIGHT(TRIM(F59),10),4),MID(RIGHT(TRIM(F59),10),4,2),LEFT(RIGHT(TRIM(F59),10),2)),""))</f>
        <v>46886</v>
      </c>
      <c r="P59" s="111" t="str">
        <f aca="false">PROPER(TRIM(SUBSTITUTE(I59,CHAR(160)," ")))</f>
        <v>Fatima Moura Guterres</v>
      </c>
      <c r="Q59" s="113" t="n">
        <f aca="false">IF(O59="","",O59-DataRef)</f>
        <v>585</v>
      </c>
      <c r="R59" s="111" t="str">
        <f aca="false">IF(OR(N59="Cancelado",N59="Fora de Uso"),"Inativo",IF(OR(N59="Revisão",N59="Em Elaboração"),"Em tratamento",IF(OR(N59&lt;&gt;"Aprovado",O59=""),"Validar cadastro",IF(O59&lt;DataRef,"Ação imediata",IF(O59&lt;=EDATE(DataRef,12),"Planejar revisão","Regular")))))</f>
        <v>Regular</v>
      </c>
      <c r="S59" s="111" t="str">
        <f aca="false">IF(R59="Inativo","Inativo",IF(O59="","Sem validade",IF(O59&lt;DataRef,"Vencida",IF(O59&lt;=DataRef+90,"Até 90 dias",IF(O59&lt;=EDATE(DataRef,12),"91 dias a 12 meses","Após 12 meses")))))</f>
        <v>Após 12 meses</v>
      </c>
      <c r="T59" s="114" t="n">
        <f aca="false">IF(O59="","",DATE(YEAR(O59),MONTH(O59),1))</f>
        <v>46874</v>
      </c>
      <c r="U59" s="115" t="n">
        <f aca="false">IF(R59="Ação imediata",1,IF(N59="Não encontrado",2,IF(N59="Revisão",3,IF(N59="Em Elaboração",4,IF(S59="Até 90 dias",5,IF(R59="Validar cadastro",6,0))))))</f>
        <v>0</v>
      </c>
      <c r="V59" s="111" t="str">
        <f aca="false">CHOOSE(U59+1,IF(R59="Planejar revisão","Incluir no plano anual de revisão",IF(R59="Inativo","Sem ação","Monitorar")),"Revisar ou prorrogar validade","Confirmar status no NDocs","Acompanhar revisão","Concluir elaboração","Iniciar revisão (≤ 90 dias)","Validar aplicabilidade")</f>
        <v>Monitorar</v>
      </c>
      <c r="W59" s="116" t="n">
        <f aca="false">(OR(fArea="Todas",ISNUMBER(SEARCH(fArea,G59))))*(OR(fStatus="Todos",N59=fStatus))*(OR(fSit="Todas",R59=fSit))*(OR(fResp="Todos",P59=fResp))*(OR(fHor="Todos",S59=fHor))</f>
        <v>1</v>
      </c>
      <c r="X59" s="117" t="n">
        <f aca="false">IF(AND(W59=1,U59&gt;0),(7-U59)*100000+50000-IF(ISNUMBER(Q59),Q59,0)+ROW()/1000,0)</f>
        <v>0</v>
      </c>
      <c r="Y59" s="118" t="str">
        <f aca="false">UPPER(A59&amp;" "&amp;TRIM(SUBSTITUTE(C59,CHAR(160)," "))&amp;" "&amp;TRIM(SUBSTITUTE(D59,CHAR(160)," ")))</f>
        <v>BRK-INS-01-011784-PT IT 5020-01334 DETERMINAÇÃO DA PRESSÃO DE VAPOR EM PRODUTOS DE PETRÓLEO</v>
      </c>
      <c r="Z59" s="118" t="str">
        <f aca="false">IF(qBusca="","",IF(ISNUMBER(SEARCH(TRIM(qBusca),Y59)),ROW(),""))</f>
        <v/>
      </c>
    </row>
    <row r="60" customFormat="false" ht="19.5" hidden="false" customHeight="true" outlineLevel="0" collapsed="false">
      <c r="A60" s="107" t="s">
        <v>424</v>
      </c>
      <c r="B60" s="108" t="s">
        <v>176</v>
      </c>
      <c r="C60" s="109" t="s">
        <v>425</v>
      </c>
      <c r="D60" s="109" t="s">
        <v>426</v>
      </c>
      <c r="E60" s="109" t="s">
        <v>162</v>
      </c>
      <c r="F60" s="110" t="n">
        <v>47688</v>
      </c>
      <c r="G60" s="108" t="s">
        <v>36</v>
      </c>
      <c r="H60" s="109" t="s">
        <v>309</v>
      </c>
      <c r="I60" s="109" t="s">
        <v>427</v>
      </c>
      <c r="J60" s="109"/>
      <c r="K60" s="109"/>
      <c r="L60" s="109" t="s">
        <v>428</v>
      </c>
      <c r="M60" s="108" t="n">
        <v>1</v>
      </c>
      <c r="N60" s="111" t="str">
        <f aca="false">IF(TRIM(SUBSTITUTE(E60,CHAR(160)," "))="Avaiação de uso","Avaliação de uso",IF(TRIM(SUBSTITUTE(E60,CHAR(160)," "))="Cancelada","Cancelado",TRIM(SUBSTITUTE(E60,CHAR(160)," "))))</f>
        <v>Aprovado</v>
      </c>
      <c r="O60" s="112" t="n">
        <f aca="false">IF(ISNUMBER(F60),F60,IFERROR(DATE(RIGHT(RIGHT(TRIM(F60),10),4),MID(RIGHT(TRIM(F60),10),4,2),LEFT(RIGHT(TRIM(F60),10),2)),""))</f>
        <v>47688</v>
      </c>
      <c r="P60" s="111" t="str">
        <f aca="false">PROPER(TRIM(SUBSTITUTE(I60,CHAR(160)," ")))</f>
        <v>Camila Moraes De Oliveira</v>
      </c>
      <c r="Q60" s="113" t="n">
        <f aca="false">IF(O60="","",O60-DataRef)</f>
        <v>1387</v>
      </c>
      <c r="R60" s="111" t="str">
        <f aca="false">IF(OR(N60="Cancelado",N60="Fora de Uso"),"Inativo",IF(OR(N60="Revisão",N60="Em Elaboração"),"Em tratamento",IF(OR(N60&lt;&gt;"Aprovado",O60=""),"Validar cadastro",IF(O60&lt;DataRef,"Ação imediata",IF(O60&lt;=EDATE(DataRef,12),"Planejar revisão","Regular")))))</f>
        <v>Regular</v>
      </c>
      <c r="S60" s="111" t="str">
        <f aca="false">IF(R60="Inativo","Inativo",IF(O60="","Sem validade",IF(O60&lt;DataRef,"Vencida",IF(O60&lt;=DataRef+90,"Até 90 dias",IF(O60&lt;=EDATE(DataRef,12),"91 dias a 12 meses","Após 12 meses")))))</f>
        <v>Após 12 meses</v>
      </c>
      <c r="T60" s="114" t="n">
        <f aca="false">IF(O60="","",DATE(YEAR(O60),MONTH(O60),1))</f>
        <v>47665</v>
      </c>
      <c r="U60" s="115" t="n">
        <f aca="false">IF(R60="Ação imediata",1,IF(N60="Não encontrado",2,IF(N60="Revisão",3,IF(N60="Em Elaboração",4,IF(S60="Até 90 dias",5,IF(R60="Validar cadastro",6,0))))))</f>
        <v>0</v>
      </c>
      <c r="V60" s="111" t="str">
        <f aca="false">CHOOSE(U60+1,IF(R60="Planejar revisão","Incluir no plano anual de revisão",IF(R60="Inativo","Sem ação","Monitorar")),"Revisar ou prorrogar validade","Confirmar status no NDocs","Acompanhar revisão","Concluir elaboração","Iniciar revisão (≤ 90 dias)","Validar aplicabilidade")</f>
        <v>Monitorar</v>
      </c>
      <c r="W60" s="116" t="n">
        <f aca="false">(OR(fArea="Todas",ISNUMBER(SEARCH(fArea,G60))))*(OR(fStatus="Todos",N60=fStatus))*(OR(fSit="Todas",R60=fSit))*(OR(fResp="Todos",P60=fResp))*(OR(fHor="Todos",S60=fHor))</f>
        <v>1</v>
      </c>
      <c r="X60" s="117" t="n">
        <f aca="false">IF(AND(W60=1,U60&gt;0),(7-U60)*100000+50000-IF(ISNUMBER(Q60),Q60,0)+ROW()/1000,0)</f>
        <v>0</v>
      </c>
      <c r="Y60" s="118" t="str">
        <f aca="false">UPPER(A60&amp;" "&amp;TRIM(SUBSTITUTE(C60,CHAR(160)," "))&amp;" "&amp;TRIM(SUBSTITUTE(D60,CHAR(160)," ")))</f>
        <v>BRK-INS-01-011812-PT IT 5020-01340 DETERMINAÇÃO DE OXIGÊNIO PPM MOL EM GASES</v>
      </c>
      <c r="Z60" s="118" t="n">
        <f aca="false">IF(qBusca="","",IF(ISNUMBER(SEARCH(TRIM(qBusca),Y60)),ROW(),""))</f>
        <v>60</v>
      </c>
    </row>
    <row r="61" customFormat="false" ht="19.5" hidden="false" customHeight="true" outlineLevel="0" collapsed="false">
      <c r="A61" s="107" t="s">
        <v>429</v>
      </c>
      <c r="B61" s="108" t="s">
        <v>191</v>
      </c>
      <c r="C61" s="109" t="s">
        <v>430</v>
      </c>
      <c r="D61" s="109" t="s">
        <v>431</v>
      </c>
      <c r="E61" s="109" t="s">
        <v>162</v>
      </c>
      <c r="F61" s="110" t="n">
        <v>47864</v>
      </c>
      <c r="G61" s="108" t="s">
        <v>36</v>
      </c>
      <c r="H61" s="109" t="s">
        <v>309</v>
      </c>
      <c r="I61" s="109" t="s">
        <v>310</v>
      </c>
      <c r="J61" s="109" t="s">
        <v>432</v>
      </c>
      <c r="K61" s="109"/>
      <c r="L61" s="109" t="s">
        <v>433</v>
      </c>
      <c r="M61" s="108" t="n">
        <v>1</v>
      </c>
      <c r="N61" s="111" t="str">
        <f aca="false">IF(TRIM(SUBSTITUTE(E61,CHAR(160)," "))="Avaiação de uso","Avaliação de uso",IF(TRIM(SUBSTITUTE(E61,CHAR(160)," "))="Cancelada","Cancelado",TRIM(SUBSTITUTE(E61,CHAR(160)," "))))</f>
        <v>Aprovado</v>
      </c>
      <c r="O61" s="112" t="n">
        <f aca="false">IF(ISNUMBER(F61),F61,IFERROR(DATE(RIGHT(RIGHT(TRIM(F61),10),4),MID(RIGHT(TRIM(F61),10),4,2),LEFT(RIGHT(TRIM(F61),10),2)),""))</f>
        <v>47864</v>
      </c>
      <c r="P61" s="111" t="str">
        <f aca="false">PROPER(TRIM(SUBSTITUTE(I61,CHAR(160)," ")))</f>
        <v>Fatima Moura Guterres</v>
      </c>
      <c r="Q61" s="113" t="n">
        <f aca="false">IF(O61="","",O61-DataRef)</f>
        <v>1563</v>
      </c>
      <c r="R61" s="111" t="str">
        <f aca="false">IF(OR(N61="Cancelado",N61="Fora de Uso"),"Inativo",IF(OR(N61="Revisão",N61="Em Elaboração"),"Em tratamento",IF(OR(N61&lt;&gt;"Aprovado",O61=""),"Validar cadastro",IF(O61&lt;DataRef,"Ação imediata",IF(O61&lt;=EDATE(DataRef,12),"Planejar revisão","Regular")))))</f>
        <v>Regular</v>
      </c>
      <c r="S61" s="111" t="str">
        <f aca="false">IF(R61="Inativo","Inativo",IF(O61="","Sem validade",IF(O61&lt;DataRef,"Vencida",IF(O61&lt;=DataRef+90,"Até 90 dias",IF(O61&lt;=EDATE(DataRef,12),"91 dias a 12 meses","Após 12 meses")))))</f>
        <v>Após 12 meses</v>
      </c>
      <c r="T61" s="114" t="n">
        <f aca="false">IF(O61="","",DATE(YEAR(O61),MONTH(O61),1))</f>
        <v>47849</v>
      </c>
      <c r="U61" s="115" t="n">
        <f aca="false">IF(R61="Ação imediata",1,IF(N61="Não encontrado",2,IF(N61="Revisão",3,IF(N61="Em Elaboração",4,IF(S61="Até 90 dias",5,IF(R61="Validar cadastro",6,0))))))</f>
        <v>0</v>
      </c>
      <c r="V61" s="111" t="str">
        <f aca="false">CHOOSE(U61+1,IF(R61="Planejar revisão","Incluir no plano anual de revisão",IF(R61="Inativo","Sem ação","Monitorar")),"Revisar ou prorrogar validade","Confirmar status no NDocs","Acompanhar revisão","Concluir elaboração","Iniciar revisão (≤ 90 dias)","Validar aplicabilidade")</f>
        <v>Monitorar</v>
      </c>
      <c r="W61" s="116" t="n">
        <f aca="false">(OR(fArea="Todas",ISNUMBER(SEARCH(fArea,G61))))*(OR(fStatus="Todos",N61=fStatus))*(OR(fSit="Todas",R61=fSit))*(OR(fResp="Todos",P61=fResp))*(OR(fHor="Todos",S61=fHor))</f>
        <v>1</v>
      </c>
      <c r="X61" s="117" t="n">
        <f aca="false">IF(AND(W61=1,U61&gt;0),(7-U61)*100000+50000-IF(ISNUMBER(Q61),Q61,0)+ROW()/1000,0)</f>
        <v>0</v>
      </c>
      <c r="Y61" s="118" t="str">
        <f aca="false">UPPER(A61&amp;" "&amp;TRIM(SUBSTITUTE(C61,CHAR(160)," "))&amp;" "&amp;TRIM(SUBSTITUTE(D61,CHAR(160)," ")))</f>
        <v>BRK-INS-01-011875-PT IT 5020-01372 DESTILAÇÃO DE HC’S LÍQUIDOS - ASTM D86</v>
      </c>
      <c r="Z61" s="118" t="str">
        <f aca="false">IF(qBusca="","",IF(ISNUMBER(SEARCH(TRIM(qBusca),Y61)),ROW(),""))</f>
        <v/>
      </c>
    </row>
    <row r="62" customFormat="false" ht="19.5" hidden="false" customHeight="true" outlineLevel="0" collapsed="false">
      <c r="A62" s="107" t="s">
        <v>434</v>
      </c>
      <c r="B62" s="108" t="s">
        <v>191</v>
      </c>
      <c r="C62" s="109" t="s">
        <v>435</v>
      </c>
      <c r="D62" s="109" t="s">
        <v>436</v>
      </c>
      <c r="E62" s="109" t="s">
        <v>162</v>
      </c>
      <c r="F62" s="110" t="n">
        <v>47791</v>
      </c>
      <c r="G62" s="108" t="s">
        <v>36</v>
      </c>
      <c r="H62" s="109" t="s">
        <v>309</v>
      </c>
      <c r="I62" s="109" t="s">
        <v>310</v>
      </c>
      <c r="J62" s="109"/>
      <c r="K62" s="109"/>
      <c r="L62" s="109" t="s">
        <v>437</v>
      </c>
      <c r="M62" s="108" t="n">
        <v>1</v>
      </c>
      <c r="N62" s="111" t="str">
        <f aca="false">IF(TRIM(SUBSTITUTE(E62,CHAR(160)," "))="Avaiação de uso","Avaliação de uso",IF(TRIM(SUBSTITUTE(E62,CHAR(160)," "))="Cancelada","Cancelado",TRIM(SUBSTITUTE(E62,CHAR(160)," "))))</f>
        <v>Aprovado</v>
      </c>
      <c r="O62" s="112" t="n">
        <f aca="false">IF(ISNUMBER(F62),F62,IFERROR(DATE(RIGHT(RIGHT(TRIM(F62),10),4),MID(RIGHT(TRIM(F62),10),4,2),LEFT(RIGHT(TRIM(F62),10),2)),""))</f>
        <v>47791</v>
      </c>
      <c r="P62" s="111" t="str">
        <f aca="false">PROPER(TRIM(SUBSTITUTE(I62,CHAR(160)," ")))</f>
        <v>Fatima Moura Guterres</v>
      </c>
      <c r="Q62" s="113" t="n">
        <f aca="false">IF(O62="","",O62-DataRef)</f>
        <v>1490</v>
      </c>
      <c r="R62" s="111" t="str">
        <f aca="false">IF(OR(N62="Cancelado",N62="Fora de Uso"),"Inativo",IF(OR(N62="Revisão",N62="Em Elaboração"),"Em tratamento",IF(OR(N62&lt;&gt;"Aprovado",O62=""),"Validar cadastro",IF(O62&lt;DataRef,"Ação imediata",IF(O62&lt;=EDATE(DataRef,12),"Planejar revisão","Regular")))))</f>
        <v>Regular</v>
      </c>
      <c r="S62" s="111" t="str">
        <f aca="false">IF(R62="Inativo","Inativo",IF(O62="","Sem validade",IF(O62&lt;DataRef,"Vencida",IF(O62&lt;=DataRef+90,"Até 90 dias",IF(O62&lt;=EDATE(DataRef,12),"91 dias a 12 meses","Após 12 meses")))))</f>
        <v>Após 12 meses</v>
      </c>
      <c r="T62" s="114" t="n">
        <f aca="false">IF(O62="","",DATE(YEAR(O62),MONTH(O62),1))</f>
        <v>47788</v>
      </c>
      <c r="U62" s="115" t="n">
        <f aca="false">IF(R62="Ação imediata",1,IF(N62="Não encontrado",2,IF(N62="Revisão",3,IF(N62="Em Elaboração",4,IF(S62="Até 90 dias",5,IF(R62="Validar cadastro",6,0))))))</f>
        <v>0</v>
      </c>
      <c r="V62" s="111" t="str">
        <f aca="false">CHOOSE(U62+1,IF(R62="Planejar revisão","Incluir no plano anual de revisão",IF(R62="Inativo","Sem ação","Monitorar")),"Revisar ou prorrogar validade","Confirmar status no NDocs","Acompanhar revisão","Concluir elaboração","Iniciar revisão (≤ 90 dias)","Validar aplicabilidade")</f>
        <v>Monitorar</v>
      </c>
      <c r="W62" s="116" t="n">
        <f aca="false">(OR(fArea="Todas",ISNUMBER(SEARCH(fArea,G62))))*(OR(fStatus="Todos",N62=fStatus))*(OR(fSit="Todas",R62=fSit))*(OR(fResp="Todos",P62=fResp))*(OR(fHor="Todos",S62=fHor))</f>
        <v>1</v>
      </c>
      <c r="X62" s="117" t="n">
        <f aca="false">IF(AND(W62=1,U62&gt;0),(7-U62)*100000+50000-IF(ISNUMBER(Q62),Q62,0)+ROW()/1000,0)</f>
        <v>0</v>
      </c>
      <c r="Y62" s="118" t="str">
        <f aca="false">UPPER(A62&amp;" "&amp;TRIM(SUBSTITUTE(C62,CHAR(160)," "))&amp;" "&amp;TRIM(SUBSTITUTE(D62,CHAR(160)," ")))</f>
        <v>BRK-INS-01-011948-PT IT 5020-01396 DETERMINAÇÃO DE POLÍMEROS EM SOLUÇÕES CÁUSTICAS</v>
      </c>
      <c r="Z62" s="118" t="str">
        <f aca="false">IF(qBusca="","",IF(ISNUMBER(SEARCH(TRIM(qBusca),Y62)),ROW(),""))</f>
        <v/>
      </c>
    </row>
    <row r="63" customFormat="false" ht="19.5" hidden="false" customHeight="true" outlineLevel="0" collapsed="false">
      <c r="A63" s="107" t="s">
        <v>438</v>
      </c>
      <c r="B63" s="108" t="s">
        <v>250</v>
      </c>
      <c r="C63" s="109" t="s">
        <v>439</v>
      </c>
      <c r="D63" s="109" t="s">
        <v>440</v>
      </c>
      <c r="E63" s="109" t="s">
        <v>162</v>
      </c>
      <c r="F63" s="110" t="n">
        <v>46676</v>
      </c>
      <c r="G63" s="108" t="s">
        <v>36</v>
      </c>
      <c r="H63" s="109" t="s">
        <v>309</v>
      </c>
      <c r="I63" s="109" t="s">
        <v>310</v>
      </c>
      <c r="J63" s="109" t="s">
        <v>441</v>
      </c>
      <c r="K63" s="109"/>
      <c r="L63" s="109" t="s">
        <v>442</v>
      </c>
      <c r="M63" s="108" t="n">
        <v>1</v>
      </c>
      <c r="N63" s="111" t="str">
        <f aca="false">IF(TRIM(SUBSTITUTE(E63,CHAR(160)," "))="Avaiação de uso","Avaliação de uso",IF(TRIM(SUBSTITUTE(E63,CHAR(160)," "))="Cancelada","Cancelado",TRIM(SUBSTITUTE(E63,CHAR(160)," "))))</f>
        <v>Aprovado</v>
      </c>
      <c r="O63" s="112" t="n">
        <f aca="false">IF(ISNUMBER(F63),F63,IFERROR(DATE(RIGHT(RIGHT(TRIM(F63),10),4),MID(RIGHT(TRIM(F63),10),4,2),LEFT(RIGHT(TRIM(F63),10),2)),""))</f>
        <v>46676</v>
      </c>
      <c r="P63" s="111" t="str">
        <f aca="false">PROPER(TRIM(SUBSTITUTE(I63,CHAR(160)," ")))</f>
        <v>Fatima Moura Guterres</v>
      </c>
      <c r="Q63" s="113" t="n">
        <f aca="false">IF(O63="","",O63-DataRef)</f>
        <v>375</v>
      </c>
      <c r="R63" s="111" t="str">
        <f aca="false">IF(OR(N63="Cancelado",N63="Fora de Uso"),"Inativo",IF(OR(N63="Revisão",N63="Em Elaboração"),"Em tratamento",IF(OR(N63&lt;&gt;"Aprovado",O63=""),"Validar cadastro",IF(O63&lt;DataRef,"Ação imediata",IF(O63&lt;=EDATE(DataRef,12),"Planejar revisão","Regular")))))</f>
        <v>Regular</v>
      </c>
      <c r="S63" s="111" t="str">
        <f aca="false">IF(R63="Inativo","Inativo",IF(O63="","Sem validade",IF(O63&lt;DataRef,"Vencida",IF(O63&lt;=DataRef+90,"Até 90 dias",IF(O63&lt;=EDATE(DataRef,12),"91 dias a 12 meses","Após 12 meses")))))</f>
        <v>Após 12 meses</v>
      </c>
      <c r="T63" s="114" t="n">
        <f aca="false">IF(O63="","",DATE(YEAR(O63),MONTH(O63),1))</f>
        <v>46661</v>
      </c>
      <c r="U63" s="115" t="n">
        <f aca="false">IF(R63="Ação imediata",1,IF(N63="Não encontrado",2,IF(N63="Revisão",3,IF(N63="Em Elaboração",4,IF(S63="Até 90 dias",5,IF(R63="Validar cadastro",6,0))))))</f>
        <v>0</v>
      </c>
      <c r="V63" s="111" t="str">
        <f aca="false">CHOOSE(U63+1,IF(R63="Planejar revisão","Incluir no plano anual de revisão",IF(R63="Inativo","Sem ação","Monitorar")),"Revisar ou prorrogar validade","Confirmar status no NDocs","Acompanhar revisão","Concluir elaboração","Iniciar revisão (≤ 90 dias)","Validar aplicabilidade")</f>
        <v>Monitorar</v>
      </c>
      <c r="W63" s="116" t="n">
        <f aca="false">(OR(fArea="Todas",ISNUMBER(SEARCH(fArea,G63))))*(OR(fStatus="Todos",N63=fStatus))*(OR(fSit="Todas",R63=fSit))*(OR(fResp="Todos",P63=fResp))*(OR(fHor="Todos",S63=fHor))</f>
        <v>1</v>
      </c>
      <c r="X63" s="117" t="n">
        <f aca="false">IF(AND(W63=1,U63&gt;0),(7-U63)*100000+50000-IF(ISNUMBER(Q63),Q63,0)+ROW()/1000,0)</f>
        <v>0</v>
      </c>
      <c r="Y63" s="118" t="str">
        <f aca="false">UPPER(A63&amp;" "&amp;TRIM(SUBSTITUTE(C63,CHAR(160)," "))&amp;" "&amp;TRIM(SUBSTITUTE(D63,CHAR(160)," ")))</f>
        <v>BRK-INS-01-013884-PT IT 5020-01991 HIDROCARBONETOS LÍQUIDOS, LIQUEFEITOS E GASOSOS: DETERMINAÇÃO DE TRAÇOS DE NITROGENIO TOTAL POR COMBUSTÃO OXIDANTE E DETECÇÃO POR QUIMILUMINESCÊNCIA</v>
      </c>
      <c r="Z63" s="118" t="str">
        <f aca="false">IF(qBusca="","",IF(ISNUMBER(SEARCH(TRIM(qBusca),Y63)),ROW(),""))</f>
        <v/>
      </c>
    </row>
    <row r="64" customFormat="false" ht="19.5" hidden="false" customHeight="true" outlineLevel="0" collapsed="false">
      <c r="A64" s="107" t="s">
        <v>443</v>
      </c>
      <c r="B64" s="108" t="s">
        <v>159</v>
      </c>
      <c r="C64" s="109" t="s">
        <v>444</v>
      </c>
      <c r="D64" s="109" t="s">
        <v>445</v>
      </c>
      <c r="E64" s="109" t="s">
        <v>162</v>
      </c>
      <c r="F64" s="110" t="n">
        <v>46649</v>
      </c>
      <c r="G64" s="108" t="s">
        <v>36</v>
      </c>
      <c r="H64" s="109" t="s">
        <v>309</v>
      </c>
      <c r="I64" s="109" t="s">
        <v>310</v>
      </c>
      <c r="J64" s="109" t="s">
        <v>446</v>
      </c>
      <c r="K64" s="109"/>
      <c r="L64" s="109" t="s">
        <v>447</v>
      </c>
      <c r="M64" s="108" t="n">
        <v>1</v>
      </c>
      <c r="N64" s="111" t="str">
        <f aca="false">IF(TRIM(SUBSTITUTE(E64,CHAR(160)," "))="Avaiação de uso","Avaliação de uso",IF(TRIM(SUBSTITUTE(E64,CHAR(160)," "))="Cancelada","Cancelado",TRIM(SUBSTITUTE(E64,CHAR(160)," "))))</f>
        <v>Aprovado</v>
      </c>
      <c r="O64" s="112" t="n">
        <f aca="false">IF(ISNUMBER(F64),F64,IFERROR(DATE(RIGHT(RIGHT(TRIM(F64),10),4),MID(RIGHT(TRIM(F64),10),4,2),LEFT(RIGHT(TRIM(F64),10),2)),""))</f>
        <v>46649</v>
      </c>
      <c r="P64" s="111" t="str">
        <f aca="false">PROPER(TRIM(SUBSTITUTE(I64,CHAR(160)," ")))</f>
        <v>Fatima Moura Guterres</v>
      </c>
      <c r="Q64" s="113" t="n">
        <f aca="false">IF(O64="","",O64-DataRef)</f>
        <v>348</v>
      </c>
      <c r="R64" s="111" t="str">
        <f aca="false">IF(OR(N64="Cancelado",N64="Fora de Uso"),"Inativo",IF(OR(N64="Revisão",N64="Em Elaboração"),"Em tratamento",IF(OR(N64&lt;&gt;"Aprovado",O64=""),"Validar cadastro",IF(O64&lt;DataRef,"Ação imediata",IF(O64&lt;=EDATE(DataRef,12),"Planejar revisão","Regular")))))</f>
        <v>Planejar revisão</v>
      </c>
      <c r="S64" s="111" t="str">
        <f aca="false">IF(R64="Inativo","Inativo",IF(O64="","Sem validade",IF(O64&lt;DataRef,"Vencida",IF(O64&lt;=DataRef+90,"Até 90 dias",IF(O64&lt;=EDATE(DataRef,12),"91 dias a 12 meses","Após 12 meses")))))</f>
        <v>91 dias a 12 meses</v>
      </c>
      <c r="T64" s="114" t="n">
        <f aca="false">IF(O64="","",DATE(YEAR(O64),MONTH(O64),1))</f>
        <v>46631</v>
      </c>
      <c r="U64" s="115" t="n">
        <f aca="false">IF(R64="Ação imediata",1,IF(N64="Não encontrado",2,IF(N64="Revisão",3,IF(N64="Em Elaboração",4,IF(S64="Até 90 dias",5,IF(R64="Validar cadastro",6,0))))))</f>
        <v>0</v>
      </c>
      <c r="V64" s="111" t="str">
        <f aca="false">CHOOSE(U64+1,IF(R64="Planejar revisão","Incluir no plano anual de revisão",IF(R64="Inativo","Sem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64" s="116" t="n">
        <f aca="false">(OR(fArea="Todas",ISNUMBER(SEARCH(fArea,G64))))*(OR(fStatus="Todos",N64=fStatus))*(OR(fSit="Todas",R64=fSit))*(OR(fResp="Todos",P64=fResp))*(OR(fHor="Todos",S64=fHor))</f>
        <v>1</v>
      </c>
      <c r="X64" s="117" t="n">
        <f aca="false">IF(AND(W64=1,U64&gt;0),(7-U64)*100000+50000-IF(ISNUMBER(Q64),Q64,0)+ROW()/1000,0)</f>
        <v>0</v>
      </c>
      <c r="Y64" s="118" t="str">
        <f aca="false">UPPER(A64&amp;" "&amp;TRIM(SUBSTITUTE(C64,CHAR(160)," "))&amp;" "&amp;TRIM(SUBSTITUTE(D64,CHAR(160)," ")))</f>
        <v>BRK-INS-01-014293-PT IT 5020-02155 ANÁLISE DE ÁGUA POR KARL-FISCHER</v>
      </c>
      <c r="Z64" s="118" t="str">
        <f aca="false">IF(qBusca="","",IF(ISNUMBER(SEARCH(TRIM(qBusca),Y64)),ROW(),""))</f>
        <v/>
      </c>
    </row>
    <row r="65" customFormat="false" ht="19.5" hidden="false" customHeight="true" outlineLevel="0" collapsed="false">
      <c r="A65" s="107" t="s">
        <v>448</v>
      </c>
      <c r="B65" s="108" t="s">
        <v>176</v>
      </c>
      <c r="C65" s="109" t="s">
        <v>449</v>
      </c>
      <c r="D65" s="109" t="s">
        <v>450</v>
      </c>
      <c r="E65" s="109" t="s">
        <v>162</v>
      </c>
      <c r="F65" s="110" t="n">
        <v>48106</v>
      </c>
      <c r="G65" s="108" t="s">
        <v>36</v>
      </c>
      <c r="H65" s="109" t="s">
        <v>309</v>
      </c>
      <c r="I65" s="109" t="s">
        <v>451</v>
      </c>
      <c r="J65" s="109"/>
      <c r="K65" s="109"/>
      <c r="L65" s="109" t="s">
        <v>452</v>
      </c>
      <c r="M65" s="108" t="n">
        <v>1</v>
      </c>
      <c r="N65" s="111" t="str">
        <f aca="false">IF(TRIM(SUBSTITUTE(E65,CHAR(160)," "))="Avaiação de uso","Avaliação de uso",IF(TRIM(SUBSTITUTE(E65,CHAR(160)," "))="Cancelada","Cancelado",TRIM(SUBSTITUTE(E65,CHAR(160)," "))))</f>
        <v>Aprovado</v>
      </c>
      <c r="O65" s="112" t="n">
        <f aca="false">IF(ISNUMBER(F65),F65,IFERROR(DATE(RIGHT(RIGHT(TRIM(F65),10),4),MID(RIGHT(TRIM(F65),10),4,2),LEFT(RIGHT(TRIM(F65),10),2)),""))</f>
        <v>48106</v>
      </c>
      <c r="P65" s="111" t="str">
        <f aca="false">PROPER(TRIM(SUBSTITUTE(I65,CHAR(160)," ")))</f>
        <v>Cintia Bernardo De Vargas</v>
      </c>
      <c r="Q65" s="113" t="n">
        <f aca="false">IF(O65="","",O65-DataRef)</f>
        <v>1805</v>
      </c>
      <c r="R65" s="111" t="str">
        <f aca="false">IF(OR(N65="Cancelado",N65="Fora de Uso"),"Inativo",IF(OR(N65="Revisão",N65="Em Elaboração"),"Em tratamento",IF(OR(N65&lt;&gt;"Aprovado",O65=""),"Validar cadastro",IF(O65&lt;DataRef,"Ação imediata",IF(O65&lt;=EDATE(DataRef,12),"Planejar revisão","Regular")))))</f>
        <v>Regular</v>
      </c>
      <c r="S65" s="111" t="str">
        <f aca="false">IF(R65="Inativo","Inativo",IF(O65="","Sem validade",IF(O65&lt;DataRef,"Vencida",IF(O65&lt;=DataRef+90,"Até 90 dias",IF(O65&lt;=EDATE(DataRef,12),"91 dias a 12 meses","Após 12 meses")))))</f>
        <v>Após 12 meses</v>
      </c>
      <c r="T65" s="114" t="n">
        <f aca="false">IF(O65="","",DATE(YEAR(O65),MONTH(O65),1))</f>
        <v>48092</v>
      </c>
      <c r="U65" s="115" t="n">
        <f aca="false">IF(R65="Ação imediata",1,IF(N65="Não encontrado",2,IF(N65="Revisão",3,IF(N65="Em Elaboração",4,IF(S65="Até 90 dias",5,IF(R65="Validar cadastro",6,0))))))</f>
        <v>0</v>
      </c>
      <c r="V65" s="111" t="str">
        <f aca="false">CHOOSE(U65+1,IF(R65="Planejar revisão","Incluir no plano anual de revisão",IF(R65="Inativo","Sem ação","Monitorar")),"Revisar ou prorrogar validade","Confirmar status no NDocs","Acompanhar revisão","Concluir elaboração","Iniciar revisão (≤ 90 dias)","Validar aplicabilidade")</f>
        <v>Monitorar</v>
      </c>
      <c r="W65" s="116" t="n">
        <f aca="false">(OR(fArea="Todas",ISNUMBER(SEARCH(fArea,G65))))*(OR(fStatus="Todos",N65=fStatus))*(OR(fSit="Todas",R65=fSit))*(OR(fResp="Todos",P65=fResp))*(OR(fHor="Todos",S65=fHor))</f>
        <v>1</v>
      </c>
      <c r="X65" s="117" t="n">
        <f aca="false">IF(AND(W65=1,U65&gt;0),(7-U65)*100000+50000-IF(ISNUMBER(Q65),Q65,0)+ROW()/1000,0)</f>
        <v>0</v>
      </c>
      <c r="Y65" s="118" t="str">
        <f aca="false">UPPER(A65&amp;" "&amp;TRIM(SUBSTITUTE(C65,CHAR(160)," "))&amp;" "&amp;TRIM(SUBSTITUTE(D65,CHAR(160)," ")))</f>
        <v>BRK-INS-01-014989-PT IT 5020-02404 DETERMINAÇÃO DE UMIDADE EM HIDROCARBONETOS GASOSOS</v>
      </c>
      <c r="Z65" s="118" t="str">
        <f aca="false">IF(qBusca="","",IF(ISNUMBER(SEARCH(TRIM(qBusca),Y65)),ROW(),""))</f>
        <v/>
      </c>
    </row>
    <row r="66" customFormat="false" ht="19.5" hidden="false" customHeight="true" outlineLevel="0" collapsed="false">
      <c r="A66" s="107" t="s">
        <v>453</v>
      </c>
      <c r="B66" s="108" t="s">
        <v>176</v>
      </c>
      <c r="C66" s="109" t="s">
        <v>454</v>
      </c>
      <c r="D66" s="109" t="s">
        <v>455</v>
      </c>
      <c r="E66" s="109" t="s">
        <v>162</v>
      </c>
      <c r="F66" s="110" t="n">
        <v>46907</v>
      </c>
      <c r="G66" s="108" t="s">
        <v>107</v>
      </c>
      <c r="H66" s="109"/>
      <c r="I66" s="109" t="s">
        <v>163</v>
      </c>
      <c r="J66" s="109"/>
      <c r="K66" s="109"/>
      <c r="L66" s="109" t="s">
        <v>456</v>
      </c>
      <c r="M66" s="108" t="n">
        <v>1</v>
      </c>
      <c r="N66" s="111" t="str">
        <f aca="false">IF(TRIM(SUBSTITUTE(E66,CHAR(160)," "))="Avaiação de uso","Avaliação de uso",IF(TRIM(SUBSTITUTE(E66,CHAR(160)," "))="Cancelada","Cancelado",TRIM(SUBSTITUTE(E66,CHAR(160)," "))))</f>
        <v>Aprovado</v>
      </c>
      <c r="O66" s="112" t="n">
        <f aca="false">IF(ISNUMBER(F66),F66,IFERROR(DATE(RIGHT(RIGHT(TRIM(F66),10),4),MID(RIGHT(TRIM(F66),10),4,2),LEFT(RIGHT(TRIM(F66),10),2)),""))</f>
        <v>46907</v>
      </c>
      <c r="P66" s="111" t="str">
        <f aca="false">PROPER(TRIM(SUBSTITUTE(I66,CHAR(160)," ")))</f>
        <v>Ana Carla Da Cruz Araujo</v>
      </c>
      <c r="Q66" s="113" t="n">
        <f aca="false">IF(O66="","",O66-DataRef)</f>
        <v>606</v>
      </c>
      <c r="R66" s="111" t="str">
        <f aca="false">IF(OR(N66="Cancelado",N66="Fora de Uso"),"Inativo",IF(OR(N66="Revisão",N66="Em Elaboração"),"Em tratamento",IF(OR(N66&lt;&gt;"Aprovado",O66=""),"Validar cadastro",IF(O66&lt;DataRef,"Ação imediata",IF(O66&lt;=EDATE(DataRef,12),"Planejar revisão","Regular")))))</f>
        <v>Regular</v>
      </c>
      <c r="S66" s="111" t="str">
        <f aca="false">IF(R66="Inativo","Inativo",IF(O66="","Sem validade",IF(O66&lt;DataRef,"Vencida",IF(O66&lt;=DataRef+90,"Até 90 dias",IF(O66&lt;=EDATE(DataRef,12),"91 dias a 12 meses","Após 12 meses")))))</f>
        <v>Após 12 meses</v>
      </c>
      <c r="T66" s="114" t="n">
        <f aca="false">IF(O66="","",DATE(YEAR(O66),MONTH(O66),1))</f>
        <v>46905</v>
      </c>
      <c r="U66" s="115" t="n">
        <f aca="false">IF(R66="Ação imediata",1,IF(N66="Não encontrado",2,IF(N66="Revisão",3,IF(N66="Em Elaboração",4,IF(S66="Até 90 dias",5,IF(R66="Validar cadastro",6,0))))))</f>
        <v>0</v>
      </c>
      <c r="V66" s="111" t="str">
        <f aca="false">CHOOSE(U66+1,IF(R66="Planejar revisão","Incluir no plano anual de revisão",IF(R66="Inativo","Sem ação","Monitorar")),"Revisar ou prorrogar validade","Confirmar status no NDocs","Acompanhar revisão","Concluir elaboração","Iniciar revisão (≤ 90 dias)","Validar aplicabilidade")</f>
        <v>Monitorar</v>
      </c>
      <c r="W66" s="116" t="n">
        <f aca="false">(OR(fArea="Todas",ISNUMBER(SEARCH(fArea,G66))))*(OR(fStatus="Todos",N66=fStatus))*(OR(fSit="Todas",R66=fSit))*(OR(fResp="Todos",P66=fResp))*(OR(fHor="Todos",S66=fHor))</f>
        <v>1</v>
      </c>
      <c r="X66" s="117" t="n">
        <f aca="false">IF(AND(W66=1,U66&gt;0),(7-U66)*100000+50000-IF(ISNUMBER(Q66),Q66,0)+ROW()/1000,0)</f>
        <v>0</v>
      </c>
      <c r="Y66" s="118" t="str">
        <f aca="false">UPPER(A66&amp;" "&amp;TRIM(SUBSTITUTE(C66,CHAR(160)," "))&amp;" "&amp;TRIM(SUBSTITUTE(D66,CHAR(160)," ")))</f>
        <v>BRK-INS-01-010058-PT IT 5020-00227 EXTRAÍVEIS EM POLIETILENO POR RMN</v>
      </c>
      <c r="Z66" s="118" t="str">
        <f aca="false">IF(qBusca="","",IF(ISNUMBER(SEARCH(TRIM(qBusca),Y66)),ROW(),""))</f>
        <v/>
      </c>
    </row>
    <row r="67" customFormat="false" ht="19.5" hidden="false" customHeight="true" outlineLevel="0" collapsed="false">
      <c r="A67" s="107" t="s">
        <v>457</v>
      </c>
      <c r="B67" s="108" t="s">
        <v>250</v>
      </c>
      <c r="C67" s="109" t="s">
        <v>458</v>
      </c>
      <c r="D67" s="109" t="s">
        <v>459</v>
      </c>
      <c r="E67" s="109" t="s">
        <v>460</v>
      </c>
      <c r="F67" s="110" t="n">
        <v>47987</v>
      </c>
      <c r="G67" s="108" t="s">
        <v>110</v>
      </c>
      <c r="H67" s="109"/>
      <c r="I67" s="109" t="s">
        <v>169</v>
      </c>
      <c r="J67" s="109"/>
      <c r="K67" s="109"/>
      <c r="L67" s="109" t="s">
        <v>461</v>
      </c>
      <c r="M67" s="108" t="n">
        <v>1</v>
      </c>
      <c r="N67" s="111" t="str">
        <f aca="false">IF(TRIM(SUBSTITUTE(E67,CHAR(160)," "))="Avaiação de uso","Avaliação de uso",IF(TRIM(SUBSTITUTE(E67,CHAR(160)," "))="Cancelada","Cancelado",TRIM(SUBSTITUTE(E67,CHAR(160)," "))))</f>
        <v>Aprovado</v>
      </c>
      <c r="O67" s="112" t="n">
        <f aca="false">IF(ISNUMBER(F67),F67,IFERROR(DATE(RIGHT(RIGHT(TRIM(F67),10),4),MID(RIGHT(TRIM(F67),10),4,2),LEFT(RIGHT(TRIM(F67),10),2)),""))</f>
        <v>47987</v>
      </c>
      <c r="P67" s="111" t="str">
        <f aca="false">PROPER(TRIM(SUBSTITUTE(I67,CHAR(160)," ")))</f>
        <v>Larissa Vicente Cardoso Guedes</v>
      </c>
      <c r="Q67" s="113" t="n">
        <f aca="false">IF(O67="","",O67-DataRef)</f>
        <v>1686</v>
      </c>
      <c r="R67" s="111" t="str">
        <f aca="false">IF(OR(N67="Cancelado",N67="Fora de Uso"),"Inativo",IF(OR(N67="Revisão",N67="Em Elaboração"),"Em tratamento",IF(OR(N67&lt;&gt;"Aprovado",O67=""),"Validar cadastro",IF(O67&lt;DataRef,"Ação imediata",IF(O67&lt;=EDATE(DataRef,12),"Planejar revisão","Regular")))))</f>
        <v>Regular</v>
      </c>
      <c r="S67" s="111" t="str">
        <f aca="false">IF(R67="Inativo","Inativo",IF(O67="","Sem validade",IF(O67&lt;DataRef,"Vencida",IF(O67&lt;=DataRef+90,"Até 90 dias",IF(O67&lt;=EDATE(DataRef,12),"91 dias a 12 meses","Após 12 meses")))))</f>
        <v>Após 12 meses</v>
      </c>
      <c r="T67" s="114" t="n">
        <f aca="false">IF(O67="","",DATE(YEAR(O67),MONTH(O67),1))</f>
        <v>47969</v>
      </c>
      <c r="U67" s="115" t="n">
        <f aca="false">IF(R67="Ação imediata",1,IF(N67="Não encontrado",2,IF(N67="Revisão",3,IF(N67="Em Elaboração",4,IF(S67="Até 90 dias",5,IF(R67="Validar cadastro",6,0))))))</f>
        <v>0</v>
      </c>
      <c r="V67" s="111" t="str">
        <f aca="false">CHOOSE(U67+1,IF(R67="Planejar revisão","Incluir no plano anual de revisão",IF(R67="Inativo","Sem ação","Monitorar")),"Revisar ou prorrogar validade","Confirmar status no NDocs","Acompanhar revisão","Concluir elaboração","Iniciar revisão (≤ 90 dias)","Validar aplicabilidade")</f>
        <v>Monitorar</v>
      </c>
      <c r="W67" s="116" t="n">
        <f aca="false">(OR(fArea="Todas",ISNUMBER(SEARCH(fArea,G67))))*(OR(fStatus="Todos",N67=fStatus))*(OR(fSit="Todas",R67=fSit))*(OR(fResp="Todos",P67=fResp))*(OR(fHor="Todos",S67=fHor))</f>
        <v>1</v>
      </c>
      <c r="X67" s="117" t="n">
        <f aca="false">IF(AND(W67=1,U67&gt;0),(7-U67)*100000+50000-IF(ISNUMBER(Q67),Q67,0)+ROW()/1000,0)</f>
        <v>0</v>
      </c>
      <c r="Y67" s="118" t="str">
        <f aca="false">UPPER(A67&amp;" "&amp;TRIM(SUBSTITUTE(C67,CHAR(160)," "))&amp;" "&amp;TRIM(SUBSTITUTE(D67,CHAR(160)," ")))</f>
        <v>BRK-INS-01-012382-PT IT 5020-01543 DETERMINAÇÃO DA DENSIDADE APARENTE EM PÓ OU GRÃOS DE POLIETILENO E POLIPROPILENO</v>
      </c>
      <c r="Z67" s="118" t="str">
        <f aca="false">IF(qBusca="","",IF(ISNUMBER(SEARCH(TRIM(qBusca),Y67)),ROW(),""))</f>
        <v/>
      </c>
    </row>
    <row r="68" customFormat="false" ht="19.5" hidden="false" customHeight="true" outlineLevel="0" collapsed="false">
      <c r="A68" s="107" t="s">
        <v>462</v>
      </c>
      <c r="B68" s="108" t="s">
        <v>250</v>
      </c>
      <c r="C68" s="109" t="s">
        <v>463</v>
      </c>
      <c r="D68" s="109" t="s">
        <v>464</v>
      </c>
      <c r="E68" s="109" t="s">
        <v>460</v>
      </c>
      <c r="F68" s="110" t="n">
        <v>48106</v>
      </c>
      <c r="G68" s="108" t="s">
        <v>109</v>
      </c>
      <c r="H68" s="109"/>
      <c r="I68" s="109" t="s">
        <v>169</v>
      </c>
      <c r="J68" s="109"/>
      <c r="K68" s="109"/>
      <c r="L68" s="109" t="s">
        <v>465</v>
      </c>
      <c r="M68" s="108" t="n">
        <v>1</v>
      </c>
      <c r="N68" s="111" t="str">
        <f aca="false">IF(TRIM(SUBSTITUTE(E68,CHAR(160)," "))="Avaiação de uso","Avaliação de uso",IF(TRIM(SUBSTITUTE(E68,CHAR(160)," "))="Cancelada","Cancelado",TRIM(SUBSTITUTE(E68,CHAR(160)," "))))</f>
        <v>Aprovado</v>
      </c>
      <c r="O68" s="112" t="n">
        <f aca="false">IF(ISNUMBER(F68),F68,IFERROR(DATE(RIGHT(RIGHT(TRIM(F68),10),4),MID(RIGHT(TRIM(F68),10),4,2),LEFT(RIGHT(TRIM(F68),10),2)),""))</f>
        <v>48106</v>
      </c>
      <c r="P68" s="111" t="str">
        <f aca="false">PROPER(TRIM(SUBSTITUTE(I68,CHAR(160)," ")))</f>
        <v>Larissa Vicente Cardoso Guedes</v>
      </c>
      <c r="Q68" s="113" t="n">
        <f aca="false">IF(O68="","",O68-DataRef)</f>
        <v>1805</v>
      </c>
      <c r="R68" s="111" t="str">
        <f aca="false">IF(OR(N68="Cancelado",N68="Fora de Uso"),"Inativo",IF(OR(N68="Revisão",N68="Em Elaboração"),"Em tratamento",IF(OR(N68&lt;&gt;"Aprovado",O68=""),"Validar cadastro",IF(O68&lt;DataRef,"Ação imediata",IF(O68&lt;=EDATE(DataRef,12),"Planejar revisão","Regular")))))</f>
        <v>Regular</v>
      </c>
      <c r="S68" s="111" t="str">
        <f aca="false">IF(R68="Inativo","Inativo",IF(O68="","Sem validade",IF(O68&lt;DataRef,"Vencida",IF(O68&lt;=DataRef+90,"Até 90 dias",IF(O68&lt;=EDATE(DataRef,12),"91 dias a 12 meses","Após 12 meses")))))</f>
        <v>Após 12 meses</v>
      </c>
      <c r="T68" s="114" t="n">
        <f aca="false">IF(O68="","",DATE(YEAR(O68),MONTH(O68),1))</f>
        <v>48092</v>
      </c>
      <c r="U68" s="115" t="n">
        <f aca="false">IF(R68="Ação imediata",1,IF(N68="Não encontrado",2,IF(N68="Revisão",3,IF(N68="Em Elaboração",4,IF(S68="Até 90 dias",5,IF(R68="Validar cadastro",6,0))))))</f>
        <v>0</v>
      </c>
      <c r="V68" s="111" t="str">
        <f aca="false">CHOOSE(U68+1,IF(R68="Planejar revisão","Incluir no plano anual de revisão",IF(R68="Inativo","Sem ação","Monitorar")),"Revisar ou prorrogar validade","Confirmar status no NDocs","Acompanhar revisão","Concluir elaboração","Iniciar revisão (≤ 90 dias)","Validar aplicabilidade")</f>
        <v>Monitorar</v>
      </c>
      <c r="W68" s="116" t="n">
        <f aca="false">(OR(fArea="Todas",ISNUMBER(SEARCH(fArea,G68))))*(OR(fStatus="Todos",N68=fStatus))*(OR(fSit="Todas",R68=fSit))*(OR(fResp="Todos",P68=fResp))*(OR(fHor="Todos",S68=fHor))</f>
        <v>1</v>
      </c>
      <c r="X68" s="117" t="n">
        <f aca="false">IF(AND(W68=1,U68&gt;0),(7-U68)*100000+50000-IF(ISNUMBER(Q68),Q68,0)+ROW()/1000,0)</f>
        <v>0</v>
      </c>
      <c r="Y68" s="118" t="str">
        <f aca="false">UPPER(A68&amp;" "&amp;TRIM(SUBSTITUTE(C68,CHAR(160)," "))&amp;" "&amp;TRIM(SUBSTITUTE(D68,CHAR(160)," ")))</f>
        <v>BRK-INS-01-013366-PT IT 5020-01820 DETERMINAÇÃO DA GRANULOMETRIA EM PÓ DE POLIPROPILENO</v>
      </c>
      <c r="Z68" s="118" t="str">
        <f aca="false">IF(qBusca="","",IF(ISNUMBER(SEARCH(TRIM(qBusca),Y68)),ROW(),""))</f>
        <v/>
      </c>
    </row>
    <row r="69" customFormat="false" ht="19.5" hidden="false" customHeight="true" outlineLevel="0" collapsed="false">
      <c r="A69" s="107" t="s">
        <v>466</v>
      </c>
      <c r="B69" s="108" t="s">
        <v>176</v>
      </c>
      <c r="C69" s="109" t="s">
        <v>467</v>
      </c>
      <c r="D69" s="109" t="s">
        <v>468</v>
      </c>
      <c r="E69" s="109" t="s">
        <v>162</v>
      </c>
      <c r="F69" s="110" t="n">
        <v>46907</v>
      </c>
      <c r="G69" s="108" t="s">
        <v>110</v>
      </c>
      <c r="H69" s="109"/>
      <c r="I69" s="109" t="s">
        <v>163</v>
      </c>
      <c r="J69" s="109" t="s">
        <v>469</v>
      </c>
      <c r="K69" s="109"/>
      <c r="L69" s="109" t="s">
        <v>470</v>
      </c>
      <c r="M69" s="108" t="n">
        <v>1</v>
      </c>
      <c r="N69" s="111" t="str">
        <f aca="false">IF(TRIM(SUBSTITUTE(E69,CHAR(160)," "))="Avaiação de uso","Avaliação de uso",IF(TRIM(SUBSTITUTE(E69,CHAR(160)," "))="Cancelada","Cancelado",TRIM(SUBSTITUTE(E69,CHAR(160)," "))))</f>
        <v>Aprovado</v>
      </c>
      <c r="O69" s="112" t="n">
        <f aca="false">IF(ISNUMBER(F69),F69,IFERROR(DATE(RIGHT(RIGHT(TRIM(F69),10),4),MID(RIGHT(TRIM(F69),10),4,2),LEFT(RIGHT(TRIM(F69),10),2)),""))</f>
        <v>46907</v>
      </c>
      <c r="P69" s="111" t="str">
        <f aca="false">PROPER(TRIM(SUBSTITUTE(I69,CHAR(160)," ")))</f>
        <v>Ana Carla Da Cruz Araujo</v>
      </c>
      <c r="Q69" s="113" t="n">
        <f aca="false">IF(O69="","",O69-DataRef)</f>
        <v>606</v>
      </c>
      <c r="R69" s="111" t="str">
        <f aca="false">IF(OR(N69="Cancelado",N69="Fora de Uso"),"Inativo",IF(OR(N69="Revisão",N69="Em Elaboração"),"Em tratamento",IF(OR(N69&lt;&gt;"Aprovado",O69=""),"Validar cadastro",IF(O69&lt;DataRef,"Ação imediata",IF(O69&lt;=EDATE(DataRef,12),"Planejar revisão","Regular")))))</f>
        <v>Regular</v>
      </c>
      <c r="S69" s="111" t="str">
        <f aca="false">IF(R69="Inativo","Inativo",IF(O69="","Sem validade",IF(O69&lt;DataRef,"Vencida",IF(O69&lt;=DataRef+90,"Até 90 dias",IF(O69&lt;=EDATE(DataRef,12),"91 dias a 12 meses","Após 12 meses")))))</f>
        <v>Após 12 meses</v>
      </c>
      <c r="T69" s="114" t="n">
        <f aca="false">IF(O69="","",DATE(YEAR(O69),MONTH(O69),1))</f>
        <v>46905</v>
      </c>
      <c r="U69" s="115" t="n">
        <f aca="false">IF(R69="Ação imediata",1,IF(N69="Não encontrado",2,IF(N69="Revisão",3,IF(N69="Em Elaboração",4,IF(S69="Até 90 dias",5,IF(R69="Validar cadastro",6,0))))))</f>
        <v>0</v>
      </c>
      <c r="V69" s="111" t="str">
        <f aca="false">CHOOSE(U69+1,IF(R69="Planejar revisão","Incluir no plano anual de revisão",IF(R69="Inativo","Sem ação","Monitorar")),"Revisar ou prorrogar validade","Confirmar status no NDocs","Acompanhar revisão","Concluir elaboração","Iniciar revisão (≤ 90 dias)","Validar aplicabilidade")</f>
        <v>Monitorar</v>
      </c>
      <c r="W69" s="116" t="n">
        <f aca="false">(OR(fArea="Todas",ISNUMBER(SEARCH(fArea,G69))))*(OR(fStatus="Todos",N69=fStatus))*(OR(fSit="Todas",R69=fSit))*(OR(fResp="Todos",P69=fResp))*(OR(fHor="Todos",S69=fHor))</f>
        <v>1</v>
      </c>
      <c r="X69" s="117" t="n">
        <f aca="false">IF(AND(W69=1,U69&gt;0),(7-U69)*100000+50000-IF(ISNUMBER(Q69),Q69,0)+ROW()/1000,0)</f>
        <v>0</v>
      </c>
      <c r="Y69" s="118" t="str">
        <f aca="false">UPPER(A69&amp;" "&amp;TRIM(SUBSTITUTE(C69,CHAR(160)," "))&amp;" "&amp;TRIM(SUBSTITUTE(D69,CHAR(160)," ")))</f>
        <v>BRK-INS-01-016106-PT IT 5020-00146 PREPARAÇÃO DE PLACAS POR MOLDAGEM EM PRENSA</v>
      </c>
      <c r="Z69" s="118" t="str">
        <f aca="false">IF(qBusca="","",IF(ISNUMBER(SEARCH(TRIM(qBusca),Y69)),ROW(),""))</f>
        <v/>
      </c>
    </row>
    <row r="70" customFormat="false" ht="19.5" hidden="false" customHeight="true" outlineLevel="0" collapsed="false">
      <c r="A70" s="107" t="s">
        <v>471</v>
      </c>
      <c r="B70" s="108" t="s">
        <v>176</v>
      </c>
      <c r="C70" s="109" t="s">
        <v>472</v>
      </c>
      <c r="D70" s="109" t="s">
        <v>473</v>
      </c>
      <c r="E70" s="109" t="s">
        <v>460</v>
      </c>
      <c r="F70" s="110" t="n">
        <v>47987</v>
      </c>
      <c r="G70" s="108" t="s">
        <v>107</v>
      </c>
      <c r="H70" s="109"/>
      <c r="I70" s="109" t="s">
        <v>163</v>
      </c>
      <c r="J70" s="109" t="s">
        <v>474</v>
      </c>
      <c r="K70" s="109"/>
      <c r="L70" s="109" t="s">
        <v>475</v>
      </c>
      <c r="M70" s="108" t="n">
        <v>1</v>
      </c>
      <c r="N70" s="111" t="str">
        <f aca="false">IF(TRIM(SUBSTITUTE(E70,CHAR(160)," "))="Avaiação de uso","Avaliação de uso",IF(TRIM(SUBSTITUTE(E70,CHAR(160)," "))="Cancelada","Cancelado",TRIM(SUBSTITUTE(E70,CHAR(160)," "))))</f>
        <v>Aprovado</v>
      </c>
      <c r="O70" s="112" t="n">
        <f aca="false">IF(ISNUMBER(F70),F70,IFERROR(DATE(RIGHT(RIGHT(TRIM(F70),10),4),MID(RIGHT(TRIM(F70),10),4,2),LEFT(RIGHT(TRIM(F70),10),2)),""))</f>
        <v>47987</v>
      </c>
      <c r="P70" s="111" t="str">
        <f aca="false">PROPER(TRIM(SUBSTITUTE(I70,CHAR(160)," ")))</f>
        <v>Ana Carla Da Cruz Araujo</v>
      </c>
      <c r="Q70" s="113" t="n">
        <f aca="false">IF(O70="","",O70-DataRef)</f>
        <v>1686</v>
      </c>
      <c r="R70" s="111" t="str">
        <f aca="false">IF(OR(N70="Cancelado",N70="Fora de Uso"),"Inativo",IF(OR(N70="Revisão",N70="Em Elaboração"),"Em tratamento",IF(OR(N70&lt;&gt;"Aprovado",O70=""),"Validar cadastro",IF(O70&lt;DataRef,"Ação imediata",IF(O70&lt;=EDATE(DataRef,12),"Planejar revisão","Regular")))))</f>
        <v>Regular</v>
      </c>
      <c r="S70" s="111" t="str">
        <f aca="false">IF(R70="Inativo","Inativo",IF(O70="","Sem validade",IF(O70&lt;DataRef,"Vencida",IF(O70&lt;=DataRef+90,"Até 90 dias",IF(O70&lt;=EDATE(DataRef,12),"91 dias a 12 meses","Após 12 meses")))))</f>
        <v>Após 12 meses</v>
      </c>
      <c r="T70" s="114" t="n">
        <f aca="false">IF(O70="","",DATE(YEAR(O70),MONTH(O70),1))</f>
        <v>47969</v>
      </c>
      <c r="U70" s="115" t="n">
        <f aca="false">IF(R70="Ação imediata",1,IF(N70="Não encontrado",2,IF(N70="Revisão",3,IF(N70="Em Elaboração",4,IF(S70="Até 90 dias",5,IF(R70="Validar cadastro",6,0))))))</f>
        <v>0</v>
      </c>
      <c r="V70" s="111" t="str">
        <f aca="false">CHOOSE(U70+1,IF(R70="Planejar revisão","Incluir no plano anual de revisão",IF(R70="Inativo","Sem ação","Monitorar")),"Revisar ou prorrogar validade","Confirmar status no NDocs","Acompanhar revisão","Concluir elaboração","Iniciar revisão (≤ 90 dias)","Validar aplicabilidade")</f>
        <v>Monitorar</v>
      </c>
      <c r="W70" s="116" t="n">
        <f aca="false">(OR(fArea="Todas",ISNUMBER(SEARCH(fArea,G70))))*(OR(fStatus="Todos",N70=fStatus))*(OR(fSit="Todas",R70=fSit))*(OR(fResp="Todos",P70=fResp))*(OR(fHor="Todos",S70=fHor))</f>
        <v>1</v>
      </c>
      <c r="X70" s="117" t="n">
        <f aca="false">IF(AND(W70=1,U70&gt;0),(7-U70)*100000+50000-IF(ISNUMBER(Q70),Q70,0)+ROW()/1000,0)</f>
        <v>0</v>
      </c>
      <c r="Y70" s="118" t="str">
        <f aca="false">UPPER(A70&amp;" "&amp;TRIM(SUBSTITUTE(C70,CHAR(160)," "))&amp;" "&amp;TRIM(SUBSTITUTE(D70,CHAR(160)," ")))</f>
        <v>BRK-INS-01-016114-PT IT 5020-00148 DETERMINAÇÃO DA DENSIDADE POR EMPUXO NO POLIETILENO</v>
      </c>
      <c r="Z70" s="118" t="str">
        <f aca="false">IF(qBusca="","",IF(ISNUMBER(SEARCH(TRIM(qBusca),Y70)),ROW(),""))</f>
        <v/>
      </c>
    </row>
    <row r="71" customFormat="false" ht="19.5" hidden="false" customHeight="true" outlineLevel="0" collapsed="false">
      <c r="A71" s="107" t="s">
        <v>476</v>
      </c>
      <c r="B71" s="108" t="s">
        <v>176</v>
      </c>
      <c r="C71" s="109" t="s">
        <v>477</v>
      </c>
      <c r="D71" s="109" t="s">
        <v>478</v>
      </c>
      <c r="E71" s="109" t="s">
        <v>162</v>
      </c>
      <c r="F71" s="110" t="n">
        <v>46846</v>
      </c>
      <c r="G71" s="108" t="s">
        <v>107</v>
      </c>
      <c r="H71" s="109"/>
      <c r="I71" s="109" t="s">
        <v>163</v>
      </c>
      <c r="J71" s="109"/>
      <c r="K71" s="109"/>
      <c r="L71" s="109" t="s">
        <v>479</v>
      </c>
      <c r="M71" s="108" t="n">
        <v>1</v>
      </c>
      <c r="N71" s="111" t="str">
        <f aca="false">IF(TRIM(SUBSTITUTE(E71,CHAR(160)," "))="Avaiação de uso","Avaliação de uso",IF(TRIM(SUBSTITUTE(E71,CHAR(160)," "))="Cancelada","Cancelado",TRIM(SUBSTITUTE(E71,CHAR(160)," "))))</f>
        <v>Aprovado</v>
      </c>
      <c r="O71" s="112" t="n">
        <f aca="false">IF(ISNUMBER(F71),F71,IFERROR(DATE(RIGHT(RIGHT(TRIM(F71),10),4),MID(RIGHT(TRIM(F71),10),4,2),LEFT(RIGHT(TRIM(F71),10),2)),""))</f>
        <v>46846</v>
      </c>
      <c r="P71" s="111" t="str">
        <f aca="false">PROPER(TRIM(SUBSTITUTE(I71,CHAR(160)," ")))</f>
        <v>Ana Carla Da Cruz Araujo</v>
      </c>
      <c r="Q71" s="113" t="n">
        <f aca="false">IF(O71="","",O71-DataRef)</f>
        <v>545</v>
      </c>
      <c r="R71" s="111" t="str">
        <f aca="false">IF(OR(N71="Cancelado",N71="Fora de Uso"),"Inativo",IF(OR(N71="Revisão",N71="Em Elaboração"),"Em tratamento",IF(OR(N71&lt;&gt;"Aprovado",O71=""),"Validar cadastro",IF(O71&lt;DataRef,"Ação imediata",IF(O71&lt;=EDATE(DataRef,12),"Planejar revisão","Regular")))))</f>
        <v>Regular</v>
      </c>
      <c r="S71" s="111" t="str">
        <f aca="false">IF(R71="Inativo","Inativo",IF(O71="","Sem validade",IF(O71&lt;DataRef,"Vencida",IF(O71&lt;=DataRef+90,"Até 90 dias",IF(O71&lt;=EDATE(DataRef,12),"91 dias a 12 meses","Após 12 meses")))))</f>
        <v>Após 12 meses</v>
      </c>
      <c r="T71" s="114" t="n">
        <f aca="false">IF(O71="","",DATE(YEAR(O71),MONTH(O71),1))</f>
        <v>46844</v>
      </c>
      <c r="U71" s="115" t="n">
        <f aca="false">IF(R71="Ação imediata",1,IF(N71="Não encontrado",2,IF(N71="Revisão",3,IF(N71="Em Elaboração",4,IF(S71="Até 90 dias",5,IF(R71="Validar cadastro",6,0))))))</f>
        <v>0</v>
      </c>
      <c r="V71" s="111" t="str">
        <f aca="false">CHOOSE(U71+1,IF(R71="Planejar revisão","Incluir no plano anual de revisão",IF(R71="Inativo","Sem ação","Monitorar")),"Revisar ou prorrogar validade","Confirmar status no NDocs","Acompanhar revisão","Concluir elaboração","Iniciar revisão (≤ 90 dias)","Validar aplicabilidade")</f>
        <v>Monitorar</v>
      </c>
      <c r="W71" s="116" t="n">
        <f aca="false">(OR(fArea="Todas",ISNUMBER(SEARCH(fArea,G71))))*(OR(fStatus="Todos",N71=fStatus))*(OR(fSit="Todas",R71=fSit))*(OR(fResp="Todos",P71=fResp))*(OR(fHor="Todos",S71=fHor))</f>
        <v>1</v>
      </c>
      <c r="X71" s="117" t="n">
        <f aca="false">IF(AND(W71=1,U71&gt;0),(7-U71)*100000+50000-IF(ISNUMBER(Q71),Q71,0)+ROW()/1000,0)</f>
        <v>0</v>
      </c>
      <c r="Y71" s="118" t="str">
        <f aca="false">UPPER(A71&amp;" "&amp;TRIM(SUBSTITUTE(C71,CHAR(160)," "))&amp;" "&amp;TRIM(SUBSTITUTE(D71,CHAR(160)," ")))</f>
        <v>BRK-INS-01-016121-PT IT 5020-00150 AVALIAÇÃO DE FILME EM RESINA DE POLIETILENO</v>
      </c>
      <c r="Z71" s="118" t="str">
        <f aca="false">IF(qBusca="","",IF(ISNUMBER(SEARCH(TRIM(qBusca),Y71)),ROW(),""))</f>
        <v/>
      </c>
    </row>
    <row r="72" customFormat="false" ht="19.5" hidden="false" customHeight="true" outlineLevel="0" collapsed="false">
      <c r="A72" s="107" t="s">
        <v>480</v>
      </c>
      <c r="B72" s="108" t="s">
        <v>159</v>
      </c>
      <c r="C72" s="109" t="s">
        <v>481</v>
      </c>
      <c r="D72" s="109" t="s">
        <v>482</v>
      </c>
      <c r="E72" s="109" t="s">
        <v>162</v>
      </c>
      <c r="F72" s="110" t="n">
        <v>46914</v>
      </c>
      <c r="G72" s="108" t="s">
        <v>107</v>
      </c>
      <c r="H72" s="109"/>
      <c r="I72" s="109" t="s">
        <v>163</v>
      </c>
      <c r="J72" s="109"/>
      <c r="K72" s="109"/>
      <c r="L72" s="109" t="s">
        <v>483</v>
      </c>
      <c r="M72" s="108" t="n">
        <v>1</v>
      </c>
      <c r="N72" s="111" t="str">
        <f aca="false">IF(TRIM(SUBSTITUTE(E72,CHAR(160)," "))="Avaiação de uso","Avaliação de uso",IF(TRIM(SUBSTITUTE(E72,CHAR(160)," "))="Cancelada","Cancelado",TRIM(SUBSTITUTE(E72,CHAR(160)," "))))</f>
        <v>Aprovado</v>
      </c>
      <c r="O72" s="112" t="n">
        <f aca="false">IF(ISNUMBER(F72),F72,IFERROR(DATE(RIGHT(RIGHT(TRIM(F72),10),4),MID(RIGHT(TRIM(F72),10),4,2),LEFT(RIGHT(TRIM(F72),10),2)),""))</f>
        <v>46914</v>
      </c>
      <c r="P72" s="111" t="str">
        <f aca="false">PROPER(TRIM(SUBSTITUTE(I72,CHAR(160)," ")))</f>
        <v>Ana Carla Da Cruz Araujo</v>
      </c>
      <c r="Q72" s="113" t="n">
        <f aca="false">IF(O72="","",O72-DataRef)</f>
        <v>613</v>
      </c>
      <c r="R72" s="111" t="str">
        <f aca="false">IF(OR(N72="Cancelado",N72="Fora de Uso"),"Inativo",IF(OR(N72="Revisão",N72="Em Elaboração"),"Em tratamento",IF(OR(N72&lt;&gt;"Aprovado",O72=""),"Validar cadastro",IF(O72&lt;DataRef,"Ação imediata",IF(O72&lt;=EDATE(DataRef,12),"Planejar revisão","Regular")))))</f>
        <v>Regular</v>
      </c>
      <c r="S72" s="111" t="str">
        <f aca="false">IF(R72="Inativo","Inativo",IF(O72="","Sem validade",IF(O72&lt;DataRef,"Vencida",IF(O72&lt;=DataRef+90,"Até 90 dias",IF(O72&lt;=EDATE(DataRef,12),"91 dias a 12 meses","Após 12 meses")))))</f>
        <v>Após 12 meses</v>
      </c>
      <c r="T72" s="114" t="n">
        <f aca="false">IF(O72="","",DATE(YEAR(O72),MONTH(O72),1))</f>
        <v>46905</v>
      </c>
      <c r="U72" s="115" t="n">
        <f aca="false">IF(R72="Ação imediata",1,IF(N72="Não encontrado",2,IF(N72="Revisão",3,IF(N72="Em Elaboração",4,IF(S72="Até 90 dias",5,IF(R72="Validar cadastro",6,0))))))</f>
        <v>0</v>
      </c>
      <c r="V72" s="111" t="str">
        <f aca="false">CHOOSE(U72+1,IF(R72="Planejar revisão","Incluir no plano anual de revisão",IF(R72="Inativo","Sem ação","Monitorar")),"Revisar ou prorrogar validade","Confirmar status no NDocs","Acompanhar revisão","Concluir elaboração","Iniciar revisão (≤ 90 dias)","Validar aplicabilidade")</f>
        <v>Monitorar</v>
      </c>
      <c r="W72" s="116" t="n">
        <f aca="false">(OR(fArea="Todas",ISNUMBER(SEARCH(fArea,G72))))*(OR(fStatus="Todos",N72=fStatus))*(OR(fSit="Todas",R72=fSit))*(OR(fResp="Todos",P72=fResp))*(OR(fHor="Todos",S72=fHor))</f>
        <v>1</v>
      </c>
      <c r="X72" s="117" t="n">
        <f aca="false">IF(AND(W72=1,U72&gt;0),(7-U72)*100000+50000-IF(ISNUMBER(Q72),Q72,0)+ROW()/1000,0)</f>
        <v>0</v>
      </c>
      <c r="Y72" s="118" t="str">
        <f aca="false">UPPER(A72&amp;" "&amp;TRIM(SUBSTITUTE(C72,CHAR(160)," "))&amp;" "&amp;TRIM(SUBSTITUTE(D72,CHAR(160)," ")))</f>
        <v>BRK-INS-01-016130-PT IT 5020-00151 DETERMINAÇÃO DE CONTAMINAÇÃO, COR-OFF, UNIFORMIDADE, CONTAGEM DE PELLETS E ODOR EM RESINA DE POLIETILENO</v>
      </c>
      <c r="Z72" s="118" t="str">
        <f aca="false">IF(qBusca="","",IF(ISNUMBER(SEARCH(TRIM(qBusca),Y72)),ROW(),""))</f>
        <v/>
      </c>
    </row>
    <row r="73" customFormat="false" ht="19.5" hidden="false" customHeight="true" outlineLevel="0" collapsed="false">
      <c r="A73" s="107" t="s">
        <v>484</v>
      </c>
      <c r="B73" s="108" t="s">
        <v>176</v>
      </c>
      <c r="C73" s="109" t="s">
        <v>485</v>
      </c>
      <c r="D73" s="109" t="s">
        <v>486</v>
      </c>
      <c r="E73" s="109" t="s">
        <v>162</v>
      </c>
      <c r="F73" s="110" t="n">
        <v>46907</v>
      </c>
      <c r="G73" s="108" t="s">
        <v>110</v>
      </c>
      <c r="H73" s="109"/>
      <c r="I73" s="109" t="s">
        <v>163</v>
      </c>
      <c r="J73" s="109"/>
      <c r="K73" s="109"/>
      <c r="L73" s="109" t="s">
        <v>487</v>
      </c>
      <c r="M73" s="108" t="n">
        <v>1</v>
      </c>
      <c r="N73" s="111" t="str">
        <f aca="false">IF(TRIM(SUBSTITUTE(E73,CHAR(160)," "))="Avaiação de uso","Avaliação de uso",IF(TRIM(SUBSTITUTE(E73,CHAR(160)," "))="Cancelada","Cancelado",TRIM(SUBSTITUTE(E73,CHAR(160)," "))))</f>
        <v>Aprovado</v>
      </c>
      <c r="O73" s="112" t="n">
        <f aca="false">IF(ISNUMBER(F73),F73,IFERROR(DATE(RIGHT(RIGHT(TRIM(F73),10),4),MID(RIGHT(TRIM(F73),10),4,2),LEFT(RIGHT(TRIM(F73),10),2)),""))</f>
        <v>46907</v>
      </c>
      <c r="P73" s="111" t="str">
        <f aca="false">PROPER(TRIM(SUBSTITUTE(I73,CHAR(160)," ")))</f>
        <v>Ana Carla Da Cruz Araujo</v>
      </c>
      <c r="Q73" s="113" t="n">
        <f aca="false">IF(O73="","",O73-DataRef)</f>
        <v>606</v>
      </c>
      <c r="R73" s="111" t="str">
        <f aca="false">IF(OR(N73="Cancelado",N73="Fora de Uso"),"Inativo",IF(OR(N73="Revisão",N73="Em Elaboração"),"Em tratamento",IF(OR(N73&lt;&gt;"Aprovado",O73=""),"Validar cadastro",IF(O73&lt;DataRef,"Ação imediata",IF(O73&lt;=EDATE(DataRef,12),"Planejar revisão","Regular")))))</f>
        <v>Regular</v>
      </c>
      <c r="S73" s="111" t="str">
        <f aca="false">IF(R73="Inativo","Inativo",IF(O73="","Sem validade",IF(O73&lt;DataRef,"Vencida",IF(O73&lt;=DataRef+90,"Até 90 dias",IF(O73&lt;=EDATE(DataRef,12),"91 dias a 12 meses","Após 12 meses")))))</f>
        <v>Após 12 meses</v>
      </c>
      <c r="T73" s="114" t="n">
        <f aca="false">IF(O73="","",DATE(YEAR(O73),MONTH(O73),1))</f>
        <v>46905</v>
      </c>
      <c r="U73" s="115" t="n">
        <f aca="false">IF(R73="Ação imediata",1,IF(N73="Não encontrado",2,IF(N73="Revisão",3,IF(N73="Em Elaboração",4,IF(S73="Até 90 dias",5,IF(R73="Validar cadastro",6,0))))))</f>
        <v>0</v>
      </c>
      <c r="V73" s="111" t="str">
        <f aca="false">CHOOSE(U73+1,IF(R73="Planejar revisão","Incluir no plano anual de revisão",IF(R73="Inativo","Sem ação","Monitorar")),"Revisar ou prorrogar validade","Confirmar status no NDocs","Acompanhar revisão","Concluir elaboração","Iniciar revisão (≤ 90 dias)","Validar aplicabilidade")</f>
        <v>Monitorar</v>
      </c>
      <c r="W73" s="116" t="n">
        <f aca="false">(OR(fArea="Todas",ISNUMBER(SEARCH(fArea,G73))))*(OR(fStatus="Todos",N73=fStatus))*(OR(fSit="Todas",R73=fSit))*(OR(fResp="Todos",P73=fResp))*(OR(fHor="Todos",S73=fHor))</f>
        <v>1</v>
      </c>
      <c r="X73" s="117" t="n">
        <f aca="false">IF(AND(W73=1,U73&gt;0),(7-U73)*100000+50000-IF(ISNUMBER(Q73),Q73,0)+ROW()/1000,0)</f>
        <v>0</v>
      </c>
      <c r="Y73" s="118" t="str">
        <f aca="false">UPPER(A73&amp;" "&amp;TRIM(SUBSTITUTE(C73,CHAR(160)," "))&amp;" "&amp;TRIM(SUBSTITUTE(D73,CHAR(160)," ")))</f>
        <v>BRK-INS-01-016142-PT IT 5020-00153 DETERMINAÇÃO DE CINZAS EM POLIETILENO E POLIPROPILENO</v>
      </c>
      <c r="Z73" s="118" t="str">
        <f aca="false">IF(qBusca="","",IF(ISNUMBER(SEARCH(TRIM(qBusca),Y73)),ROW(),""))</f>
        <v/>
      </c>
    </row>
    <row r="74" customFormat="false" ht="19.5" hidden="false" customHeight="true" outlineLevel="0" collapsed="false">
      <c r="A74" s="107" t="s">
        <v>488</v>
      </c>
      <c r="B74" s="108" t="s">
        <v>176</v>
      </c>
      <c r="C74" s="109" t="s">
        <v>489</v>
      </c>
      <c r="D74" s="109" t="s">
        <v>490</v>
      </c>
      <c r="E74" s="109" t="s">
        <v>162</v>
      </c>
      <c r="F74" s="110" t="n">
        <v>46914</v>
      </c>
      <c r="G74" s="108" t="s">
        <v>107</v>
      </c>
      <c r="H74" s="109"/>
      <c r="I74" s="109" t="s">
        <v>163</v>
      </c>
      <c r="J74" s="109" t="s">
        <v>491</v>
      </c>
      <c r="K74" s="109"/>
      <c r="L74" s="109" t="s">
        <v>492</v>
      </c>
      <c r="M74" s="108" t="n">
        <v>1</v>
      </c>
      <c r="N74" s="111" t="str">
        <f aca="false">IF(TRIM(SUBSTITUTE(E74,CHAR(160)," "))="Avaiação de uso","Avaliação de uso",IF(TRIM(SUBSTITUTE(E74,CHAR(160)," "))="Cancelada","Cancelado",TRIM(SUBSTITUTE(E74,CHAR(160)," "))))</f>
        <v>Aprovado</v>
      </c>
      <c r="O74" s="112" t="n">
        <f aca="false">IF(ISNUMBER(F74),F74,IFERROR(DATE(RIGHT(RIGHT(TRIM(F74),10),4),MID(RIGHT(TRIM(F74),10),4,2),LEFT(RIGHT(TRIM(F74),10),2)),""))</f>
        <v>46914</v>
      </c>
      <c r="P74" s="111" t="str">
        <f aca="false">PROPER(TRIM(SUBSTITUTE(I74,CHAR(160)," ")))</f>
        <v>Ana Carla Da Cruz Araujo</v>
      </c>
      <c r="Q74" s="113" t="n">
        <f aca="false">IF(O74="","",O74-DataRef)</f>
        <v>613</v>
      </c>
      <c r="R74" s="111" t="str">
        <f aca="false">IF(OR(N74="Cancelado",N74="Fora de Uso"),"Inativo",IF(OR(N74="Revisão",N74="Em Elaboração"),"Em tratamento",IF(OR(N74&lt;&gt;"Aprovado",O74=""),"Validar cadastro",IF(O74&lt;DataRef,"Ação imediata",IF(O74&lt;=EDATE(DataRef,12),"Planejar revisão","Regular")))))</f>
        <v>Regular</v>
      </c>
      <c r="S74" s="111" t="str">
        <f aca="false">IF(R74="Inativo","Inativo",IF(O74="","Sem validade",IF(O74&lt;DataRef,"Vencida",IF(O74&lt;=DataRef+90,"Até 90 dias",IF(O74&lt;=EDATE(DataRef,12),"91 dias a 12 meses","Após 12 meses")))))</f>
        <v>Após 12 meses</v>
      </c>
      <c r="T74" s="114" t="n">
        <f aca="false">IF(O74="","",DATE(YEAR(O74),MONTH(O74),1))</f>
        <v>46905</v>
      </c>
      <c r="U74" s="115" t="n">
        <f aca="false">IF(R74="Ação imediata",1,IF(N74="Não encontrado",2,IF(N74="Revisão",3,IF(N74="Em Elaboração",4,IF(S74="Até 90 dias",5,IF(R74="Validar cadastro",6,0))))))</f>
        <v>0</v>
      </c>
      <c r="V74" s="111" t="str">
        <f aca="false">CHOOSE(U74+1,IF(R74="Planejar revisão","Incluir no plano anual de revisão",IF(R74="Inativo","Sem ação","Monitorar")),"Revisar ou prorrogar validade","Confirmar status no NDocs","Acompanhar revisão","Concluir elaboração","Iniciar revisão (≤ 90 dias)","Validar aplicabilidade")</f>
        <v>Monitorar</v>
      </c>
      <c r="W74" s="116" t="n">
        <f aca="false">(OR(fArea="Todas",ISNUMBER(SEARCH(fArea,G74))))*(OR(fStatus="Todos",N74=fStatus))*(OR(fSit="Todas",R74=fSit))*(OR(fResp="Todos",P74=fResp))*(OR(fHor="Todos",S74=fHor))</f>
        <v>1</v>
      </c>
      <c r="X74" s="117" t="n">
        <f aca="false">IF(AND(W74=1,U74&gt;0),(7-U74)*100000+50000-IF(ISNUMBER(Q74),Q74,0)+ROW()/1000,0)</f>
        <v>0</v>
      </c>
      <c r="Y74" s="118" t="str">
        <f aca="false">UPPER(A74&amp;" "&amp;TRIM(SUBSTITUTE(C74,CHAR(160)," "))&amp;" "&amp;TRIM(SUBSTITUTE(D74,CHAR(160)," ")))</f>
        <v>BRK-INS-01-016149-PT IT 5020-00154 DETERMINAÇÃO DA DENSIDADE APARENTE EM PÓ OU GRÃOS DE POLIETILENO</v>
      </c>
      <c r="Z74" s="118" t="str">
        <f aca="false">IF(qBusca="","",IF(ISNUMBER(SEARCH(TRIM(qBusca),Y74)),ROW(),""))</f>
        <v/>
      </c>
    </row>
    <row r="75" customFormat="false" ht="19.5" hidden="false" customHeight="true" outlineLevel="0" collapsed="false">
      <c r="A75" s="107" t="s">
        <v>493</v>
      </c>
      <c r="B75" s="108" t="s">
        <v>191</v>
      </c>
      <c r="C75" s="109" t="s">
        <v>494</v>
      </c>
      <c r="D75" s="109" t="s">
        <v>495</v>
      </c>
      <c r="E75" s="109" t="s">
        <v>162</v>
      </c>
      <c r="F75" s="110" t="n">
        <v>47987</v>
      </c>
      <c r="G75" s="108" t="s">
        <v>110</v>
      </c>
      <c r="H75" s="109"/>
      <c r="I75" s="109" t="s">
        <v>169</v>
      </c>
      <c r="J75" s="109"/>
      <c r="K75" s="109"/>
      <c r="L75" s="109" t="s">
        <v>496</v>
      </c>
      <c r="M75" s="108" t="n">
        <v>1</v>
      </c>
      <c r="N75" s="111" t="str">
        <f aca="false">IF(TRIM(SUBSTITUTE(E75,CHAR(160)," "))="Avaiação de uso","Avaliação de uso",IF(TRIM(SUBSTITUTE(E75,CHAR(160)," "))="Cancelada","Cancelado",TRIM(SUBSTITUTE(E75,CHAR(160)," "))))</f>
        <v>Aprovado</v>
      </c>
      <c r="O75" s="112" t="n">
        <f aca="false">IF(ISNUMBER(F75),F75,IFERROR(DATE(RIGHT(RIGHT(TRIM(F75),10),4),MID(RIGHT(TRIM(F75),10),4,2),LEFT(RIGHT(TRIM(F75),10),2)),""))</f>
        <v>47987</v>
      </c>
      <c r="P75" s="111" t="str">
        <f aca="false">PROPER(TRIM(SUBSTITUTE(I75,CHAR(160)," ")))</f>
        <v>Larissa Vicente Cardoso Guedes</v>
      </c>
      <c r="Q75" s="113" t="n">
        <f aca="false">IF(O75="","",O75-DataRef)</f>
        <v>1686</v>
      </c>
      <c r="R75" s="111" t="str">
        <f aca="false">IF(OR(N75="Cancelado",N75="Fora de Uso"),"Inativo",IF(OR(N75="Revisão",N75="Em Elaboração"),"Em tratamento",IF(OR(N75&lt;&gt;"Aprovado",O75=""),"Validar cadastro",IF(O75&lt;DataRef,"Ação imediata",IF(O75&lt;=EDATE(DataRef,12),"Planejar revisão","Regular")))))</f>
        <v>Regular</v>
      </c>
      <c r="S75" s="111" t="str">
        <f aca="false">IF(R75="Inativo","Inativo",IF(O75="","Sem validade",IF(O75&lt;DataRef,"Vencida",IF(O75&lt;=DataRef+90,"Até 90 dias",IF(O75&lt;=EDATE(DataRef,12),"91 dias a 12 meses","Após 12 meses")))))</f>
        <v>Após 12 meses</v>
      </c>
      <c r="T75" s="114" t="n">
        <f aca="false">IF(O75="","",DATE(YEAR(O75),MONTH(O75),1))</f>
        <v>47969</v>
      </c>
      <c r="U75" s="115" t="n">
        <f aca="false">IF(R75="Ação imediata",1,IF(N75="Não encontrado",2,IF(N75="Revisão",3,IF(N75="Em Elaboração",4,IF(S75="Até 90 dias",5,IF(R75="Validar cadastro",6,0))))))</f>
        <v>0</v>
      </c>
      <c r="V75" s="111" t="str">
        <f aca="false">CHOOSE(U75+1,IF(R75="Planejar revisão","Incluir no plano anual de revisão",IF(R75="Inativo","Sem ação","Monitorar")),"Revisar ou prorrogar validade","Confirmar status no NDocs","Acompanhar revisão","Concluir elaboração","Iniciar revisão (≤ 90 dias)","Validar aplicabilidade")</f>
        <v>Monitorar</v>
      </c>
      <c r="W75" s="116" t="n">
        <f aca="false">(OR(fArea="Todas",ISNUMBER(SEARCH(fArea,G75))))*(OR(fStatus="Todos",N75=fStatus))*(OR(fSit="Todas",R75=fSit))*(OR(fResp="Todos",P75=fResp))*(OR(fHor="Todos",S75=fHor))</f>
        <v>1</v>
      </c>
      <c r="X75" s="117" t="n">
        <f aca="false">IF(AND(W75=1,U75&gt;0),(7-U75)*100000+50000-IF(ISNUMBER(Q75),Q75,0)+ROW()/1000,0)</f>
        <v>0</v>
      </c>
      <c r="Y75" s="118" t="str">
        <f aca="false">UPPER(A75&amp;" "&amp;TRIM(SUBSTITUTE(C75,CHAR(160)," "))&amp;" "&amp;TRIM(SUBSTITUTE(D75,CHAR(160)," ")))</f>
        <v>BRK-INS-01-016159-PT IT 5020-00157 DETERMINAÇÃO DE ADITIVOS EM RESINAS DE PE E PP VIA EDXRF</v>
      </c>
      <c r="Z75" s="118" t="str">
        <f aca="false">IF(qBusca="","",IF(ISNUMBER(SEARCH(TRIM(qBusca),Y75)),ROW(),""))</f>
        <v/>
      </c>
    </row>
    <row r="76" customFormat="false" ht="19.5" hidden="false" customHeight="true" outlineLevel="0" collapsed="false">
      <c r="A76" s="107" t="s">
        <v>497</v>
      </c>
      <c r="B76" s="108" t="s">
        <v>159</v>
      </c>
      <c r="C76" s="109" t="s">
        <v>498</v>
      </c>
      <c r="D76" s="109" t="s">
        <v>499</v>
      </c>
      <c r="E76" s="109" t="s">
        <v>162</v>
      </c>
      <c r="F76" s="110" t="n">
        <v>46846</v>
      </c>
      <c r="G76" s="108" t="s">
        <v>110</v>
      </c>
      <c r="H76" s="109"/>
      <c r="I76" s="109" t="s">
        <v>163</v>
      </c>
      <c r="J76" s="109"/>
      <c r="K76" s="109"/>
      <c r="L76" s="109" t="s">
        <v>500</v>
      </c>
      <c r="M76" s="108" t="n">
        <v>1</v>
      </c>
      <c r="N76" s="111" t="str">
        <f aca="false">IF(TRIM(SUBSTITUTE(E76,CHAR(160)," "))="Avaiação de uso","Avaliação de uso",IF(TRIM(SUBSTITUTE(E76,CHAR(160)," "))="Cancelada","Cancelado",TRIM(SUBSTITUTE(E76,CHAR(160)," "))))</f>
        <v>Aprovado</v>
      </c>
      <c r="O76" s="112" t="n">
        <f aca="false">IF(ISNUMBER(F76),F76,IFERROR(DATE(RIGHT(RIGHT(TRIM(F76),10),4),MID(RIGHT(TRIM(F76),10),4,2),LEFT(RIGHT(TRIM(F76),10),2)),""))</f>
        <v>46846</v>
      </c>
      <c r="P76" s="111" t="str">
        <f aca="false">PROPER(TRIM(SUBSTITUTE(I76,CHAR(160)," ")))</f>
        <v>Ana Carla Da Cruz Araujo</v>
      </c>
      <c r="Q76" s="113" t="n">
        <f aca="false">IF(O76="","",O76-DataRef)</f>
        <v>545</v>
      </c>
      <c r="R76" s="111" t="str">
        <f aca="false">IF(OR(N76="Cancelado",N76="Fora de Uso"),"Inativo",IF(OR(N76="Revisão",N76="Em Elaboração"),"Em tratamento",IF(OR(N76&lt;&gt;"Aprovado",O76=""),"Validar cadastro",IF(O76&lt;DataRef,"Ação imediata",IF(O76&lt;=EDATE(DataRef,12),"Planejar revisão","Regular")))))</f>
        <v>Regular</v>
      </c>
      <c r="S76" s="111" t="str">
        <f aca="false">IF(R76="Inativo","Inativo",IF(O76="","Sem validade",IF(O76&lt;DataRef,"Vencida",IF(O76&lt;=DataRef+90,"Até 90 dias",IF(O76&lt;=EDATE(DataRef,12),"91 dias a 12 meses","Após 12 meses")))))</f>
        <v>Após 12 meses</v>
      </c>
      <c r="T76" s="114" t="n">
        <f aca="false">IF(O76="","",DATE(YEAR(O76),MONTH(O76),1))</f>
        <v>46844</v>
      </c>
      <c r="U76" s="115" t="n">
        <f aca="false">IF(R76="Ação imediata",1,IF(N76="Não encontrado",2,IF(N76="Revisão",3,IF(N76="Em Elaboração",4,IF(S76="Até 90 dias",5,IF(R76="Validar cadastro",6,0))))))</f>
        <v>0</v>
      </c>
      <c r="V76" s="111" t="str">
        <f aca="false">CHOOSE(U76+1,IF(R76="Planejar revisão","Incluir no plano anual de revisão",IF(R76="Inativo","Sem ação","Monitorar")),"Revisar ou prorrogar validade","Confirmar status no NDocs","Acompanhar revisão","Concluir elaboração","Iniciar revisão (≤ 90 dias)","Validar aplicabilidade")</f>
        <v>Monitorar</v>
      </c>
      <c r="W76" s="116" t="n">
        <f aca="false">(OR(fArea="Todas",ISNUMBER(SEARCH(fArea,G76))))*(OR(fStatus="Todos",N76=fStatus))*(OR(fSit="Todas",R76=fSit))*(OR(fResp="Todos",P76=fResp))*(OR(fHor="Todos",S76=fHor))</f>
        <v>1</v>
      </c>
      <c r="X76" s="117" t="n">
        <f aca="false">IF(AND(W76=1,U76&gt;0),(7-U76)*100000+50000-IF(ISNUMBER(Q76),Q76,0)+ROW()/1000,0)</f>
        <v>0</v>
      </c>
      <c r="Y76" s="118" t="str">
        <f aca="false">UPPER(A76&amp;" "&amp;TRIM(SUBSTITUTE(C76,CHAR(160)," "))&amp;" "&amp;TRIM(SUBSTITUTE(D76,CHAR(160)," ")))</f>
        <v>BRK-INS-01-016174-PT IT 5020-00161 ESTOCAGEM DE AMOSTRAS TESTEMUNHAS</v>
      </c>
      <c r="Z76" s="118" t="str">
        <f aca="false">IF(qBusca="","",IF(ISNUMBER(SEARCH(TRIM(qBusca),Y76)),ROW(),""))</f>
        <v/>
      </c>
    </row>
    <row r="77" customFormat="false" ht="19.5" hidden="false" customHeight="true" outlineLevel="0" collapsed="false">
      <c r="A77" s="107" t="s">
        <v>501</v>
      </c>
      <c r="B77" s="108" t="s">
        <v>191</v>
      </c>
      <c r="C77" s="109" t="s">
        <v>502</v>
      </c>
      <c r="D77" s="109" t="s">
        <v>503</v>
      </c>
      <c r="E77" s="109" t="s">
        <v>162</v>
      </c>
      <c r="F77" s="110" t="n">
        <v>48010</v>
      </c>
      <c r="G77" s="108" t="s">
        <v>110</v>
      </c>
      <c r="H77" s="109"/>
      <c r="I77" s="109" t="s">
        <v>169</v>
      </c>
      <c r="J77" s="109"/>
      <c r="K77" s="109"/>
      <c r="L77" s="109" t="s">
        <v>504</v>
      </c>
      <c r="M77" s="108" t="n">
        <v>1</v>
      </c>
      <c r="N77" s="111" t="str">
        <f aca="false">IF(TRIM(SUBSTITUTE(E77,CHAR(160)," "))="Avaiação de uso","Avaliação de uso",IF(TRIM(SUBSTITUTE(E77,CHAR(160)," "))="Cancelada","Cancelado",TRIM(SUBSTITUTE(E77,CHAR(160)," "))))</f>
        <v>Aprovado</v>
      </c>
      <c r="O77" s="112" t="n">
        <f aca="false">IF(ISNUMBER(F77),F77,IFERROR(DATE(RIGHT(RIGHT(TRIM(F77),10),4),MID(RIGHT(TRIM(F77),10),4,2),LEFT(RIGHT(TRIM(F77),10),2)),""))</f>
        <v>48010</v>
      </c>
      <c r="P77" s="111" t="str">
        <f aca="false">PROPER(TRIM(SUBSTITUTE(I77,CHAR(160)," ")))</f>
        <v>Larissa Vicente Cardoso Guedes</v>
      </c>
      <c r="Q77" s="113" t="n">
        <f aca="false">IF(O77="","",O77-DataRef)</f>
        <v>1709</v>
      </c>
      <c r="R77" s="111" t="str">
        <f aca="false">IF(OR(N77="Cancelado",N77="Fora de Uso"),"Inativo",IF(OR(N77="Revisão",N77="Em Elaboração"),"Em tratamento",IF(OR(N77&lt;&gt;"Aprovado",O77=""),"Validar cadastro",IF(O77&lt;DataRef,"Ação imediata",IF(O77&lt;=EDATE(DataRef,12),"Planejar revisão","Regular")))))</f>
        <v>Regular</v>
      </c>
      <c r="S77" s="111" t="str">
        <f aca="false">IF(R77="Inativo","Inativo",IF(O77="","Sem validade",IF(O77&lt;DataRef,"Vencida",IF(O77&lt;=DataRef+90,"Até 90 dias",IF(O77&lt;=EDATE(DataRef,12),"91 dias a 12 meses","Após 12 meses")))))</f>
        <v>Após 12 meses</v>
      </c>
      <c r="T77" s="114" t="n">
        <f aca="false">IF(O77="","",DATE(YEAR(O77),MONTH(O77),1))</f>
        <v>48000</v>
      </c>
      <c r="U77" s="115" t="n">
        <f aca="false">IF(R77="Ação imediata",1,IF(N77="Não encontrado",2,IF(N77="Revisão",3,IF(N77="Em Elaboração",4,IF(S77="Até 90 dias",5,IF(R77="Validar cadastro",6,0))))))</f>
        <v>0</v>
      </c>
      <c r="V77" s="111" t="str">
        <f aca="false">CHOOSE(U77+1,IF(R77="Planejar revisão","Incluir no plano anual de revisão",IF(R77="Inativo","Sem ação","Monitorar")),"Revisar ou prorrogar validade","Confirmar status no NDocs","Acompanhar revisão","Concluir elaboração","Iniciar revisão (≤ 90 dias)","Validar aplicabilidade")</f>
        <v>Monitorar</v>
      </c>
      <c r="W77" s="116" t="n">
        <f aca="false">(OR(fArea="Todas",ISNUMBER(SEARCH(fArea,G77))))*(OR(fStatus="Todos",N77=fStatus))*(OR(fSit="Todas",R77=fSit))*(OR(fResp="Todos",P77=fResp))*(OR(fHor="Todos",S77=fHor))</f>
        <v>1</v>
      </c>
      <c r="X77" s="117" t="n">
        <f aca="false">IF(AND(W77=1,U77&gt;0),(7-U77)*100000+50000-IF(ISNUMBER(Q77),Q77,0)+ROW()/1000,0)</f>
        <v>0</v>
      </c>
      <c r="Y77" s="118" t="str">
        <f aca="false">UPPER(A77&amp;" "&amp;TRIM(SUBSTITUTE(C77,CHAR(160)," "))&amp;" "&amp;TRIM(SUBSTITUTE(D77,CHAR(160)," ")))</f>
        <v>BRK-INS-01-016182-PT IT 5020-00162 CRITÉRIOS PARA AMOSTRAGENS E ANÁLISES DE LOTES PARA PRODUTO FINAL</v>
      </c>
      <c r="Z77" s="118" t="str">
        <f aca="false">IF(qBusca="","",IF(ISNUMBER(SEARCH(TRIM(qBusca),Y77)),ROW(),""))</f>
        <v/>
      </c>
    </row>
    <row r="78" customFormat="false" ht="19.5" hidden="false" customHeight="true" outlineLevel="0" collapsed="false">
      <c r="A78" s="107" t="s">
        <v>505</v>
      </c>
      <c r="B78" s="108" t="s">
        <v>506</v>
      </c>
      <c r="C78" s="109" t="s">
        <v>507</v>
      </c>
      <c r="D78" s="109" t="s">
        <v>508</v>
      </c>
      <c r="E78" s="109" t="s">
        <v>460</v>
      </c>
      <c r="F78" s="110" t="n">
        <v>48106</v>
      </c>
      <c r="G78" s="108" t="s">
        <v>107</v>
      </c>
      <c r="H78" s="109"/>
      <c r="I78" s="109" t="s">
        <v>169</v>
      </c>
      <c r="J78" s="109" t="s">
        <v>509</v>
      </c>
      <c r="K78" s="109"/>
      <c r="L78" s="109" t="s">
        <v>510</v>
      </c>
      <c r="M78" s="108" t="n">
        <v>1</v>
      </c>
      <c r="N78" s="111" t="str">
        <f aca="false">IF(TRIM(SUBSTITUTE(E78,CHAR(160)," "))="Avaiação de uso","Avaliação de uso",IF(TRIM(SUBSTITUTE(E78,CHAR(160)," "))="Cancelada","Cancelado",TRIM(SUBSTITUTE(E78,CHAR(160)," "))))</f>
        <v>Aprovado</v>
      </c>
      <c r="O78" s="112" t="n">
        <f aca="false">IF(ISNUMBER(F78),F78,IFERROR(DATE(RIGHT(RIGHT(TRIM(F78),10),4),MID(RIGHT(TRIM(F78),10),4,2),LEFT(RIGHT(TRIM(F78),10),2)),""))</f>
        <v>48106</v>
      </c>
      <c r="P78" s="111" t="str">
        <f aca="false">PROPER(TRIM(SUBSTITUTE(I78,CHAR(160)," ")))</f>
        <v>Larissa Vicente Cardoso Guedes</v>
      </c>
      <c r="Q78" s="113" t="n">
        <f aca="false">IF(O78="","",O78-DataRef)</f>
        <v>1805</v>
      </c>
      <c r="R78" s="111" t="str">
        <f aca="false">IF(OR(N78="Cancelado",N78="Fora de Uso"),"Inativo",IF(OR(N78="Revisão",N78="Em Elaboração"),"Em tratamento",IF(OR(N78&lt;&gt;"Aprovado",O78=""),"Validar cadastro",IF(O78&lt;DataRef,"Ação imediata",IF(O78&lt;=EDATE(DataRef,12),"Planejar revisão","Regular")))))</f>
        <v>Regular</v>
      </c>
      <c r="S78" s="111" t="str">
        <f aca="false">IF(R78="Inativo","Inativo",IF(O78="","Sem validade",IF(O78&lt;DataRef,"Vencida",IF(O78&lt;=DataRef+90,"Até 90 dias",IF(O78&lt;=EDATE(DataRef,12),"91 dias a 12 meses","Após 12 meses")))))</f>
        <v>Após 12 meses</v>
      </c>
      <c r="T78" s="114" t="n">
        <f aca="false">IF(O78="","",DATE(YEAR(O78),MONTH(O78),1))</f>
        <v>48092</v>
      </c>
      <c r="U78" s="115" t="n">
        <f aca="false">IF(R78="Ação imediata",1,IF(N78="Não encontrado",2,IF(N78="Revisão",3,IF(N78="Em Elaboração",4,IF(S78="Até 90 dias",5,IF(R78="Validar cadastro",6,0))))))</f>
        <v>0</v>
      </c>
      <c r="V78" s="111" t="str">
        <f aca="false">CHOOSE(U78+1,IF(R78="Planejar revisão","Incluir no plano anual de revisão",IF(R78="Inativo","Sem ação","Monitorar")),"Revisar ou prorrogar validade","Confirmar status no NDocs","Acompanhar revisão","Concluir elaboração","Iniciar revisão (≤ 90 dias)","Validar aplicabilidade")</f>
        <v>Monitorar</v>
      </c>
      <c r="W78" s="116" t="n">
        <f aca="false">(OR(fArea="Todas",ISNUMBER(SEARCH(fArea,G78))))*(OR(fStatus="Todos",N78=fStatus))*(OR(fSit="Todas",R78=fSit))*(OR(fResp="Todos",P78=fResp))*(OR(fHor="Todos",S78=fHor))</f>
        <v>1</v>
      </c>
      <c r="X78" s="117" t="n">
        <f aca="false">IF(AND(W78=1,U78&gt;0),(7-U78)*100000+50000-IF(ISNUMBER(Q78),Q78,0)+ROW()/1000,0)</f>
        <v>0</v>
      </c>
      <c r="Y78" s="118" t="str">
        <f aca="false">UPPER(A78&amp;" "&amp;TRIM(SUBSTITUTE(C78,CHAR(160)," "))&amp;" "&amp;TRIM(SUBSTITUTE(D78,CHAR(160)," ")))</f>
        <v>BRK-INS-01-018894-PT IT 5020-00152 DETERMINAÇÃO DO PESO DO TAMANHO MÉDIO DE PARTÍCULA EM RESINAS EM PÓ DE POLIETILENO</v>
      </c>
      <c r="Z78" s="118" t="str">
        <f aca="false">IF(qBusca="","",IF(ISNUMBER(SEARCH(TRIM(qBusca),Y78)),ROW(),""))</f>
        <v/>
      </c>
    </row>
    <row r="79" customFormat="false" ht="19.5" hidden="false" customHeight="true" outlineLevel="0" collapsed="false">
      <c r="A79" s="107" t="s">
        <v>511</v>
      </c>
      <c r="B79" s="108" t="s">
        <v>176</v>
      </c>
      <c r="C79" s="109" t="s">
        <v>512</v>
      </c>
      <c r="D79" s="109" t="s">
        <v>513</v>
      </c>
      <c r="E79" s="109" t="s">
        <v>162</v>
      </c>
      <c r="F79" s="110" t="n">
        <v>46907</v>
      </c>
      <c r="G79" s="108" t="s">
        <v>107</v>
      </c>
      <c r="H79" s="109"/>
      <c r="I79" s="109" t="s">
        <v>163</v>
      </c>
      <c r="J79" s="109"/>
      <c r="K79" s="109"/>
      <c r="L79" s="109" t="s">
        <v>514</v>
      </c>
      <c r="M79" s="108" t="n">
        <v>1</v>
      </c>
      <c r="N79" s="111" t="str">
        <f aca="false">IF(TRIM(SUBSTITUTE(E79,CHAR(160)," "))="Avaiação de uso","Avaliação de uso",IF(TRIM(SUBSTITUTE(E79,CHAR(160)," "))="Cancelada","Cancelado",TRIM(SUBSTITUTE(E79,CHAR(160)," "))))</f>
        <v>Aprovado</v>
      </c>
      <c r="O79" s="112" t="n">
        <f aca="false">IF(ISNUMBER(F79),F79,IFERROR(DATE(RIGHT(RIGHT(TRIM(F79),10),4),MID(RIGHT(TRIM(F79),10),4,2),LEFT(RIGHT(TRIM(F79),10),2)),""))</f>
        <v>46907</v>
      </c>
      <c r="P79" s="111" t="str">
        <f aca="false">PROPER(TRIM(SUBSTITUTE(I79,CHAR(160)," ")))</f>
        <v>Ana Carla Da Cruz Araujo</v>
      </c>
      <c r="Q79" s="113" t="n">
        <f aca="false">IF(O79="","",O79-DataRef)</f>
        <v>606</v>
      </c>
      <c r="R79" s="111" t="str">
        <f aca="false">IF(OR(N79="Cancelado",N79="Fora de Uso"),"Inativo",IF(OR(N79="Revisão",N79="Em Elaboração"),"Em tratamento",IF(OR(N79&lt;&gt;"Aprovado",O79=""),"Validar cadastro",IF(O79&lt;DataRef,"Ação imediata",IF(O79&lt;=EDATE(DataRef,12),"Planejar revisão","Regular")))))</f>
        <v>Regular</v>
      </c>
      <c r="S79" s="111" t="str">
        <f aca="false">IF(R79="Inativo","Inativo",IF(O79="","Sem validade",IF(O79&lt;DataRef,"Vencida",IF(O79&lt;=DataRef+90,"Até 90 dias",IF(O79&lt;=EDATE(DataRef,12),"91 dias a 12 meses","Após 12 meses")))))</f>
        <v>Após 12 meses</v>
      </c>
      <c r="T79" s="114" t="n">
        <f aca="false">IF(O79="","",DATE(YEAR(O79),MONTH(O79),1))</f>
        <v>46905</v>
      </c>
      <c r="U79" s="115" t="n">
        <f aca="false">IF(R79="Ação imediata",1,IF(N79="Não encontrado",2,IF(N79="Revisão",3,IF(N79="Em Elaboração",4,IF(S79="Até 90 dias",5,IF(R79="Validar cadastro",6,0))))))</f>
        <v>0</v>
      </c>
      <c r="V79" s="111" t="str">
        <f aca="false">CHOOSE(U79+1,IF(R79="Planejar revisão","Incluir no plano anual de revisão",IF(R79="Inativo","Sem ação","Monitorar")),"Revisar ou prorrogar validade","Confirmar status no NDocs","Acompanhar revisão","Concluir elaboração","Iniciar revisão (≤ 90 dias)","Validar aplicabilidade")</f>
        <v>Monitorar</v>
      </c>
      <c r="W79" s="116" t="n">
        <f aca="false">(OR(fArea="Todas",ISNUMBER(SEARCH(fArea,G79))))*(OR(fStatus="Todos",N79=fStatus))*(OR(fSit="Todas",R79=fSit))*(OR(fResp="Todos",P79=fResp))*(OR(fHor="Todos",S79=fHor))</f>
        <v>1</v>
      </c>
      <c r="X79" s="117" t="n">
        <f aca="false">IF(AND(W79=1,U79&gt;0),(7-U79)*100000+50000-IF(ISNUMBER(Q79),Q79,0)+ROW()/1000,0)</f>
        <v>0</v>
      </c>
      <c r="Y79" s="118" t="str">
        <f aca="false">UPPER(A79&amp;" "&amp;TRIM(SUBSTITUTE(C79,CHAR(160)," "))&amp;" "&amp;TRIM(SUBSTITUTE(D79,CHAR(160)," ")))</f>
        <v>BRK-INS-01-018896-PT IT 5020-00155 DETERMINAÇÃO DE EXTRAÍVEIS EM CICLOHEXANO EM RESINAS DE POLIETILENO DE ALTA DENSIDADE</v>
      </c>
      <c r="Z79" s="118" t="str">
        <f aca="false">IF(qBusca="","",IF(ISNUMBER(SEARCH(TRIM(qBusca),Y79)),ROW(),""))</f>
        <v/>
      </c>
    </row>
    <row r="80" customFormat="false" ht="19.5" hidden="false" customHeight="true" outlineLevel="0" collapsed="false">
      <c r="A80" s="107" t="s">
        <v>515</v>
      </c>
      <c r="B80" s="108" t="s">
        <v>235</v>
      </c>
      <c r="C80" s="109" t="s">
        <v>516</v>
      </c>
      <c r="D80" s="109" t="s">
        <v>517</v>
      </c>
      <c r="E80" s="109" t="s">
        <v>460</v>
      </c>
      <c r="F80" s="110" t="n">
        <v>47987</v>
      </c>
      <c r="G80" s="108" t="s">
        <v>107</v>
      </c>
      <c r="H80" s="109"/>
      <c r="I80" s="109" t="s">
        <v>163</v>
      </c>
      <c r="J80" s="109" t="s">
        <v>518</v>
      </c>
      <c r="K80" s="109"/>
      <c r="L80" s="109" t="s">
        <v>519</v>
      </c>
      <c r="M80" s="108" t="n">
        <v>1</v>
      </c>
      <c r="N80" s="111" t="str">
        <f aca="false">IF(TRIM(SUBSTITUTE(E80,CHAR(160)," "))="Avaiação de uso","Avaliação de uso",IF(TRIM(SUBSTITUTE(E80,CHAR(160)," "))="Cancelada","Cancelado",TRIM(SUBSTITUTE(E80,CHAR(160)," "))))</f>
        <v>Aprovado</v>
      </c>
      <c r="O80" s="112" t="n">
        <f aca="false">IF(ISNUMBER(F80),F80,IFERROR(DATE(RIGHT(RIGHT(TRIM(F80),10),4),MID(RIGHT(TRIM(F80),10),4,2),LEFT(RIGHT(TRIM(F80),10),2)),""))</f>
        <v>47987</v>
      </c>
      <c r="P80" s="111" t="str">
        <f aca="false">PROPER(TRIM(SUBSTITUTE(I80,CHAR(160)," ")))</f>
        <v>Ana Carla Da Cruz Araujo</v>
      </c>
      <c r="Q80" s="113" t="n">
        <f aca="false">IF(O80="","",O80-DataRef)</f>
        <v>1686</v>
      </c>
      <c r="R80" s="111" t="str">
        <f aca="false">IF(OR(N80="Cancelado",N80="Fora de Uso"),"Inativo",IF(OR(N80="Revisão",N80="Em Elaboração"),"Em tratamento",IF(OR(N80&lt;&gt;"Aprovado",O80=""),"Validar cadastro",IF(O80&lt;DataRef,"Ação imediata",IF(O80&lt;=EDATE(DataRef,12),"Planejar revisão","Regular")))))</f>
        <v>Regular</v>
      </c>
      <c r="S80" s="111" t="str">
        <f aca="false">IF(R80="Inativo","Inativo",IF(O80="","Sem validade",IF(O80&lt;DataRef,"Vencida",IF(O80&lt;=DataRef+90,"Até 90 dias",IF(O80&lt;=EDATE(DataRef,12),"91 dias a 12 meses","Após 12 meses")))))</f>
        <v>Após 12 meses</v>
      </c>
      <c r="T80" s="114" t="n">
        <f aca="false">IF(O80="","",DATE(YEAR(O80),MONTH(O80),1))</f>
        <v>47969</v>
      </c>
      <c r="U80" s="115" t="n">
        <f aca="false">IF(R80="Ação imediata",1,IF(N80="Não encontrado",2,IF(N80="Revisão",3,IF(N80="Em Elaboração",4,IF(S80="Até 90 dias",5,IF(R80="Validar cadastro",6,0))))))</f>
        <v>0</v>
      </c>
      <c r="V80" s="111" t="str">
        <f aca="false">CHOOSE(U80+1,IF(R80="Planejar revisão","Incluir no plano anual de revisão",IF(R80="Inativo","Sem ação","Monitorar")),"Revisar ou prorrogar validade","Confirmar status no NDocs","Acompanhar revisão","Concluir elaboração","Iniciar revisão (≤ 90 dias)","Validar aplicabilidade")</f>
        <v>Monitorar</v>
      </c>
      <c r="W80" s="116" t="n">
        <f aca="false">(OR(fArea="Todas",ISNUMBER(SEARCH(fArea,G80))))*(OR(fStatus="Todos",N80=fStatus))*(OR(fSit="Todas",R80=fSit))*(OR(fResp="Todos",P80=fResp))*(OR(fHor="Todos",S80=fHor))</f>
        <v>1</v>
      </c>
      <c r="X80" s="117" t="n">
        <f aca="false">IF(AND(W80=1,U80&gt;0),(7-U80)*100000+50000-IF(ISNUMBER(Q80),Q80,0)+ROW()/1000,0)</f>
        <v>0</v>
      </c>
      <c r="Y80" s="118" t="str">
        <f aca="false">UPPER(A80&amp;" "&amp;TRIM(SUBSTITUTE(C80,CHAR(160)," "))&amp;" "&amp;TRIM(SUBSTITUTE(D80,CHAR(160)," ")))</f>
        <v>BRK-INS-01-018902-PT IT 5020-00234 OPERAÇÃO DOS EQUIPAMENTOS PARA ANÁLISE DE ÍNDICE DE FLUIDEZ DO LCQ - DCX</v>
      </c>
      <c r="Z80" s="118" t="str">
        <f aca="false">IF(qBusca="","",IF(ISNUMBER(SEARCH(TRIM(qBusca),Y80)),ROW(),""))</f>
        <v/>
      </c>
    </row>
    <row r="81" customFormat="false" ht="19.5" hidden="false" customHeight="true" outlineLevel="0" collapsed="false">
      <c r="A81" s="107" t="s">
        <v>520</v>
      </c>
      <c r="B81" s="108" t="s">
        <v>302</v>
      </c>
      <c r="C81" s="109" t="s">
        <v>521</v>
      </c>
      <c r="D81" s="109" t="s">
        <v>522</v>
      </c>
      <c r="E81" s="109" t="s">
        <v>460</v>
      </c>
      <c r="F81" s="110" t="n">
        <v>48017</v>
      </c>
      <c r="G81" s="108" t="s">
        <v>109</v>
      </c>
      <c r="H81" s="109"/>
      <c r="I81" s="109" t="s">
        <v>169</v>
      </c>
      <c r="J81" s="109"/>
      <c r="K81" s="109"/>
      <c r="L81" s="109" t="s">
        <v>523</v>
      </c>
      <c r="M81" s="108" t="n">
        <v>1</v>
      </c>
      <c r="N81" s="111" t="str">
        <f aca="false">IF(TRIM(SUBSTITUTE(E81,CHAR(160)," "))="Avaiação de uso","Avaliação de uso",IF(TRIM(SUBSTITUTE(E81,CHAR(160)," "))="Cancelada","Cancelado",TRIM(SUBSTITUTE(E81,CHAR(160)," "))))</f>
        <v>Aprovado</v>
      </c>
      <c r="O81" s="112" t="n">
        <f aca="false">IF(ISNUMBER(F81),F81,IFERROR(DATE(RIGHT(RIGHT(TRIM(F81),10),4),MID(RIGHT(TRIM(F81),10),4,2),LEFT(RIGHT(TRIM(F81),10),2)),""))</f>
        <v>48017</v>
      </c>
      <c r="P81" s="111" t="str">
        <f aca="false">PROPER(TRIM(SUBSTITUTE(I81,CHAR(160)," ")))</f>
        <v>Larissa Vicente Cardoso Guedes</v>
      </c>
      <c r="Q81" s="113" t="n">
        <f aca="false">IF(O81="","",O81-DataRef)</f>
        <v>1716</v>
      </c>
      <c r="R81" s="111" t="str">
        <f aca="false">IF(OR(N81="Cancelado",N81="Fora de Uso"),"Inativo",IF(OR(N81="Revisão",N81="Em Elaboração"),"Em tratamento",IF(OR(N81&lt;&gt;"Aprovado",O81=""),"Validar cadastro",IF(O81&lt;DataRef,"Ação imediata",IF(O81&lt;=EDATE(DataRef,12),"Planejar revisão","Regular")))))</f>
        <v>Regular</v>
      </c>
      <c r="S81" s="111" t="str">
        <f aca="false">IF(R81="Inativo","Inativo",IF(O81="","Sem validade",IF(O81&lt;DataRef,"Vencida",IF(O81&lt;=DataRef+90,"Até 90 dias",IF(O81&lt;=EDATE(DataRef,12),"91 dias a 12 meses","Após 12 meses")))))</f>
        <v>Após 12 meses</v>
      </c>
      <c r="T81" s="114" t="n">
        <f aca="false">IF(O81="","",DATE(YEAR(O81),MONTH(O81),1))</f>
        <v>48000</v>
      </c>
      <c r="U81" s="115" t="n">
        <f aca="false">IF(R81="Ação imediata",1,IF(N81="Não encontrado",2,IF(N81="Revisão",3,IF(N81="Em Elaboração",4,IF(S81="Até 90 dias",5,IF(R81="Validar cadastro",6,0))))))</f>
        <v>0</v>
      </c>
      <c r="V81" s="111" t="str">
        <f aca="false">CHOOSE(U81+1,IF(R81="Planejar revisão","Incluir no plano anual de revisão",IF(R81="Inativo","Sem ação","Monitorar")),"Revisar ou prorrogar validade","Confirmar status no NDocs","Acompanhar revisão","Concluir elaboração","Iniciar revisão (≤ 90 dias)","Validar aplicabilidade")</f>
        <v>Monitorar</v>
      </c>
      <c r="W81" s="116" t="n">
        <f aca="false">(OR(fArea="Todas",ISNUMBER(SEARCH(fArea,G81))))*(OR(fStatus="Todos",N81=fStatus))*(OR(fSit="Todas",R81=fSit))*(OR(fResp="Todos",P81=fResp))*(OR(fHor="Todos",S81=fHor))</f>
        <v>1</v>
      </c>
      <c r="X81" s="117" t="n">
        <f aca="false">IF(AND(W81=1,U81&gt;0),(7-U81)*100000+50000-IF(ISNUMBER(Q81),Q81,0)+ROW()/1000,0)</f>
        <v>0</v>
      </c>
      <c r="Y81" s="118" t="str">
        <f aca="false">UPPER(A81&amp;" "&amp;TRIM(SUBSTITUTE(C81,CHAR(160)," "))&amp;" "&amp;TRIM(SUBSTITUTE(D81,CHAR(160)," ")))</f>
        <v>BRK-INS-01-021158-PT IT 5020-00275 DETERMINAÇÃO DE SOLÚVEIS EM XILENO EM POLIPROPILENO POR RMN - PP5</v>
      </c>
      <c r="Z81" s="118" t="str">
        <f aca="false">IF(qBusca="","",IF(ISNUMBER(SEARCH(TRIM(qBusca),Y81)),ROW(),""))</f>
        <v/>
      </c>
    </row>
    <row r="82" customFormat="false" ht="19.5" hidden="false" customHeight="true" outlineLevel="0" collapsed="false">
      <c r="A82" s="107" t="s">
        <v>524</v>
      </c>
      <c r="B82" s="108" t="s">
        <v>525</v>
      </c>
      <c r="C82" s="109" t="s">
        <v>526</v>
      </c>
      <c r="D82" s="109" t="s">
        <v>527</v>
      </c>
      <c r="E82" s="109" t="s">
        <v>162</v>
      </c>
      <c r="F82" s="110" t="n">
        <v>47948</v>
      </c>
      <c r="G82" s="108" t="s">
        <v>107</v>
      </c>
      <c r="H82" s="109" t="s">
        <v>309</v>
      </c>
      <c r="I82" s="109" t="s">
        <v>528</v>
      </c>
      <c r="J82" s="109"/>
      <c r="K82" s="109"/>
      <c r="L82" s="109" t="s">
        <v>529</v>
      </c>
      <c r="M82" s="108" t="n">
        <v>1</v>
      </c>
      <c r="N82" s="111" t="str">
        <f aca="false">IF(TRIM(SUBSTITUTE(E82,CHAR(160)," "))="Avaiação de uso","Avaliação de uso",IF(TRIM(SUBSTITUTE(E82,CHAR(160)," "))="Cancelada","Cancelado",TRIM(SUBSTITUTE(E82,CHAR(160)," "))))</f>
        <v>Aprovado</v>
      </c>
      <c r="O82" s="112" t="n">
        <f aca="false">IF(ISNUMBER(F82),F82,IFERROR(DATE(RIGHT(RIGHT(TRIM(F82),10),4),MID(RIGHT(TRIM(F82),10),4,2),LEFT(RIGHT(TRIM(F82),10),2)),""))</f>
        <v>47948</v>
      </c>
      <c r="P82" s="111" t="str">
        <f aca="false">PROPER(TRIM(SUBSTITUTE(I82,CHAR(160)," ")))</f>
        <v>Thais Nyland</v>
      </c>
      <c r="Q82" s="113" t="n">
        <f aca="false">IF(O82="","",O82-DataRef)</f>
        <v>1647</v>
      </c>
      <c r="R82" s="111" t="str">
        <f aca="false">IF(OR(N82="Cancelado",N82="Fora de Uso"),"Inativo",IF(OR(N82="Revisão",N82="Em Elaboração"),"Em tratamento",IF(OR(N82&lt;&gt;"Aprovado",O82=""),"Validar cadastro",IF(O82&lt;DataRef,"Ação imediata",IF(O82&lt;=EDATE(DataRef,12),"Planejar revisão","Regular")))))</f>
        <v>Regular</v>
      </c>
      <c r="S82" s="111" t="str">
        <f aca="false">IF(R82="Inativo","Inativo",IF(O82="","Sem validade",IF(O82&lt;DataRef,"Vencida",IF(O82&lt;=DataRef+90,"Até 90 dias",IF(O82&lt;=EDATE(DataRef,12),"91 dias a 12 meses","Após 12 meses")))))</f>
        <v>Após 12 meses</v>
      </c>
      <c r="T82" s="114" t="n">
        <f aca="false">IF(O82="","",DATE(YEAR(O82),MONTH(O82),1))</f>
        <v>47939</v>
      </c>
      <c r="U82" s="115" t="n">
        <f aca="false">IF(R82="Ação imediata",1,IF(N82="Não encontrado",2,IF(N82="Revisão",3,IF(N82="Em Elaboração",4,IF(S82="Até 90 dias",5,IF(R82="Validar cadastro",6,0))))))</f>
        <v>0</v>
      </c>
      <c r="V82" s="111" t="str">
        <f aca="false">CHOOSE(U82+1,IF(R82="Planejar revisão","Incluir no plano anual de revisão",IF(R82="Inativo","Sem ação","Monitorar")),"Revisar ou prorrogar validade","Confirmar status no NDocs","Acompanhar revisão","Concluir elaboração","Iniciar revisão (≤ 90 dias)","Validar aplicabilidade")</f>
        <v>Monitorar</v>
      </c>
      <c r="W82" s="116" t="n">
        <f aca="false">(OR(fArea="Todas",ISNUMBER(SEARCH(fArea,G82))))*(OR(fStatus="Todos",N82=fStatus))*(OR(fSit="Todas",R82=fSit))*(OR(fResp="Todos",P82=fResp))*(OR(fHor="Todos",S82=fHor))</f>
        <v>1</v>
      </c>
      <c r="X82" s="117" t="n">
        <f aca="false">IF(AND(W82=1,U82&gt;0),(7-U82)*100000+50000-IF(ISNUMBER(Q82),Q82,0)+ROW()/1000,0)</f>
        <v>0</v>
      </c>
      <c r="Y82" s="118" t="str">
        <f aca="false">UPPER(A82&amp;" "&amp;TRIM(SUBSTITUTE(C82,CHAR(160)," "))&amp;" "&amp;TRIM(SUBSTITUTE(D82,CHAR(160)," ")))</f>
        <v>BRK-INS-01-011939-PT IT 2010-00001 ESPECIFICAÇÃO E CLASSIFICAÇÃO DE PRODUTO FINAL E CODIFICAÇÃO DE LOTES – PE, EVA E PVC</v>
      </c>
      <c r="Z82" s="118" t="str">
        <f aca="false">IF(qBusca="","",IF(ISNUMBER(SEARCH(TRIM(qBusca),Y82)),ROW(),""))</f>
        <v/>
      </c>
    </row>
    <row r="83" customFormat="false" ht="19.5" hidden="false" customHeight="true" outlineLevel="0" collapsed="false">
      <c r="A83" s="107" t="s">
        <v>530</v>
      </c>
      <c r="B83" s="108" t="s">
        <v>531</v>
      </c>
      <c r="C83" s="109" t="s">
        <v>532</v>
      </c>
      <c r="D83" s="109" t="s">
        <v>533</v>
      </c>
      <c r="E83" s="109" t="s">
        <v>162</v>
      </c>
      <c r="F83" s="110" t="n">
        <v>47715</v>
      </c>
      <c r="G83" s="108" t="s">
        <v>109</v>
      </c>
      <c r="H83" s="109" t="s">
        <v>309</v>
      </c>
      <c r="I83" s="109" t="s">
        <v>528</v>
      </c>
      <c r="J83" s="109"/>
      <c r="K83" s="109"/>
      <c r="L83" s="109" t="s">
        <v>534</v>
      </c>
      <c r="M83" s="108" t="n">
        <v>1</v>
      </c>
      <c r="N83" s="111" t="str">
        <f aca="false">IF(TRIM(SUBSTITUTE(E83,CHAR(160)," "))="Avaiação de uso","Avaliação de uso",IF(TRIM(SUBSTITUTE(E83,CHAR(160)," "))="Cancelada","Cancelado",TRIM(SUBSTITUTE(E83,CHAR(160)," "))))</f>
        <v>Aprovado</v>
      </c>
      <c r="O83" s="112" t="n">
        <f aca="false">IF(ISNUMBER(F83),F83,IFERROR(DATE(RIGHT(RIGHT(TRIM(F83),10),4),MID(RIGHT(TRIM(F83),10),4,2),LEFT(RIGHT(TRIM(F83),10),2)),""))</f>
        <v>47715</v>
      </c>
      <c r="P83" s="111" t="str">
        <f aca="false">PROPER(TRIM(SUBSTITUTE(I83,CHAR(160)," ")))</f>
        <v>Thais Nyland</v>
      </c>
      <c r="Q83" s="113" t="n">
        <f aca="false">IF(O83="","",O83-DataRef)</f>
        <v>1414</v>
      </c>
      <c r="R83" s="111" t="str">
        <f aca="false">IF(OR(N83="Cancelado",N83="Fora de Uso"),"Inativo",IF(OR(N83="Revisão",N83="Em Elaboração"),"Em tratamento",IF(OR(N83&lt;&gt;"Aprovado",O83=""),"Validar cadastro",IF(O83&lt;DataRef,"Ação imediata",IF(O83&lt;=EDATE(DataRef,12),"Planejar revisão","Regular")))))</f>
        <v>Regular</v>
      </c>
      <c r="S83" s="111" t="str">
        <f aca="false">IF(R83="Inativo","Inativo",IF(O83="","Sem validade",IF(O83&lt;DataRef,"Vencida",IF(O83&lt;=DataRef+90,"Até 90 dias",IF(O83&lt;=EDATE(DataRef,12),"91 dias a 12 meses","Após 12 meses")))))</f>
        <v>Após 12 meses</v>
      </c>
      <c r="T83" s="114" t="n">
        <f aca="false">IF(O83="","",DATE(YEAR(O83),MONTH(O83),1))</f>
        <v>47696</v>
      </c>
      <c r="U83" s="115" t="n">
        <f aca="false">IF(R83="Ação imediata",1,IF(N83="Não encontrado",2,IF(N83="Revisão",3,IF(N83="Em Elaboração",4,IF(S83="Até 90 dias",5,IF(R83="Validar cadastro",6,0))))))</f>
        <v>0</v>
      </c>
      <c r="V83" s="111" t="str">
        <f aca="false">CHOOSE(U83+1,IF(R83="Planejar revisão","Incluir no plano anual de revisão",IF(R83="Inativo","Sem ação","Monitorar")),"Revisar ou prorrogar validade","Confirmar status no NDocs","Acompanhar revisão","Concluir elaboração","Iniciar revisão (≤ 90 dias)","Validar aplicabilidade")</f>
        <v>Monitorar</v>
      </c>
      <c r="W83" s="116" t="n">
        <f aca="false">(OR(fArea="Todas",ISNUMBER(SEARCH(fArea,G83))))*(OR(fStatus="Todos",N83=fStatus))*(OR(fSit="Todas",R83=fSit))*(OR(fResp="Todos",P83=fResp))*(OR(fHor="Todos",S83=fHor))</f>
        <v>1</v>
      </c>
      <c r="X83" s="117" t="n">
        <f aca="false">IF(AND(W83=1,U83&gt;0),(7-U83)*100000+50000-IF(ISNUMBER(Q83),Q83,0)+ROW()/1000,0)</f>
        <v>0</v>
      </c>
      <c r="Y83" s="118" t="str">
        <f aca="false">UPPER(A83&amp;" "&amp;TRIM(SUBSTITUTE(C83,CHAR(160)," "))&amp;" "&amp;TRIM(SUBSTITUTE(D83,CHAR(160)," ")))</f>
        <v>BRK-INS-01-011947-PT IT 2010-00002 ESPECIFICAÇÃO E CLASSIFICAÇÃO DE PRODUTO FINAL E CODIFICAÇÃO DE LOTES - PP</v>
      </c>
      <c r="Z83" s="118" t="str">
        <f aca="false">IF(qBusca="","",IF(ISNUMBER(SEARCH(TRIM(qBusca),Y83)),ROW(),""))</f>
        <v/>
      </c>
    </row>
    <row r="84" customFormat="false" ht="19.5" hidden="false" customHeight="true" outlineLevel="0" collapsed="false">
      <c r="A84" s="107" t="s">
        <v>535</v>
      </c>
      <c r="B84" s="108" t="s">
        <v>176</v>
      </c>
      <c r="C84" s="109" t="s">
        <v>536</v>
      </c>
      <c r="D84" s="109" t="s">
        <v>537</v>
      </c>
      <c r="E84" s="109" t="s">
        <v>162</v>
      </c>
      <c r="F84" s="110" t="n">
        <v>46482</v>
      </c>
      <c r="G84" s="108" t="s">
        <v>109</v>
      </c>
      <c r="H84" s="109" t="s">
        <v>309</v>
      </c>
      <c r="I84" s="109" t="s">
        <v>538</v>
      </c>
      <c r="J84" s="109"/>
      <c r="K84" s="109"/>
      <c r="L84" s="109" t="s">
        <v>539</v>
      </c>
      <c r="M84" s="108" t="n">
        <v>1</v>
      </c>
      <c r="N84" s="111" t="str">
        <f aca="false">IF(TRIM(SUBSTITUTE(E84,CHAR(160)," "))="Avaiação de uso","Avaliação de uso",IF(TRIM(SUBSTITUTE(E84,CHAR(160)," "))="Cancelada","Cancelado",TRIM(SUBSTITUTE(E84,CHAR(160)," "))))</f>
        <v>Aprovado</v>
      </c>
      <c r="O84" s="112" t="n">
        <f aca="false">IF(ISNUMBER(F84),F84,IFERROR(DATE(RIGHT(RIGHT(TRIM(F84),10),4),MID(RIGHT(TRIM(F84),10),4,2),LEFT(RIGHT(TRIM(F84),10),2)),""))</f>
        <v>46482</v>
      </c>
      <c r="P84" s="111" t="str">
        <f aca="false">PROPER(TRIM(SUBSTITUTE(I84,CHAR(160)," ")))</f>
        <v>Elton Luis Soares Taborda</v>
      </c>
      <c r="Q84" s="113" t="n">
        <f aca="false">IF(O84="","",O84-DataRef)</f>
        <v>181</v>
      </c>
      <c r="R84" s="111" t="str">
        <f aca="false">IF(OR(N84="Cancelado",N84="Fora de Uso"),"Inativo",IF(OR(N84="Revisão",N84="Em Elaboração"),"Em tratamento",IF(OR(N84&lt;&gt;"Aprovado",O84=""),"Validar cadastro",IF(O84&lt;DataRef,"Ação imediata",IF(O84&lt;=EDATE(DataRef,12),"Planejar revisão","Regular")))))</f>
        <v>Planejar revisão</v>
      </c>
      <c r="S84" s="111" t="str">
        <f aca="false">IF(R84="Inativo","Inativo",IF(O84="","Sem validade",IF(O84&lt;DataRef,"Vencida",IF(O84&lt;=DataRef+90,"Até 90 dias",IF(O84&lt;=EDATE(DataRef,12),"91 dias a 12 meses","Após 12 meses")))))</f>
        <v>91 dias a 12 meses</v>
      </c>
      <c r="T84" s="114" t="n">
        <f aca="false">IF(O84="","",DATE(YEAR(O84),MONTH(O84),1))</f>
        <v>46478</v>
      </c>
      <c r="U84" s="115" t="n">
        <f aca="false">IF(R84="Ação imediata",1,IF(N84="Não encontrado",2,IF(N84="Revisão",3,IF(N84="Em Elaboração",4,IF(S84="Até 90 dias",5,IF(R84="Validar cadastro",6,0))))))</f>
        <v>0</v>
      </c>
      <c r="V84" s="111" t="str">
        <f aca="false">CHOOSE(U84+1,IF(R84="Planejar revisão","Incluir no plano anual de revisão",IF(R84="Inativo","Sem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84" s="116" t="n">
        <f aca="false">(OR(fArea="Todas",ISNUMBER(SEARCH(fArea,G84))))*(OR(fStatus="Todos",N84=fStatus))*(OR(fSit="Todas",R84=fSit))*(OR(fResp="Todos",P84=fResp))*(OR(fHor="Todos",S84=fHor))</f>
        <v>1</v>
      </c>
      <c r="X84" s="117" t="n">
        <f aca="false">IF(AND(W84=1,U84&gt;0),(7-U84)*100000+50000-IF(ISNUMBER(Q84),Q84,0)+ROW()/1000,0)</f>
        <v>0</v>
      </c>
      <c r="Y84" s="118" t="str">
        <f aca="false">UPPER(A84&amp;" "&amp;TRIM(SUBSTITUTE(C84,CHAR(160)," "))&amp;" "&amp;TRIM(SUBSTITUTE(D84,CHAR(160)," ")))</f>
        <v>BRK-INS-01-012278-PT IT 5020-01493 DETERMINAÇÃO DA QUALIDADE DO FILME EM POLIPROPILENO</v>
      </c>
      <c r="Z84" s="118" t="str">
        <f aca="false">IF(qBusca="","",IF(ISNUMBER(SEARCH(TRIM(qBusca),Y84)),ROW(),""))</f>
        <v/>
      </c>
    </row>
    <row r="85" customFormat="false" ht="19.5" hidden="false" customHeight="true" outlineLevel="0" collapsed="false">
      <c r="A85" s="107" t="s">
        <v>540</v>
      </c>
      <c r="B85" s="108" t="s">
        <v>250</v>
      </c>
      <c r="C85" s="109" t="s">
        <v>541</v>
      </c>
      <c r="D85" s="109" t="s">
        <v>542</v>
      </c>
      <c r="E85" s="109" t="s">
        <v>162</v>
      </c>
      <c r="F85" s="110" t="n">
        <v>46908</v>
      </c>
      <c r="G85" s="108" t="s">
        <v>109</v>
      </c>
      <c r="H85" s="109" t="s">
        <v>309</v>
      </c>
      <c r="I85" s="109" t="s">
        <v>543</v>
      </c>
      <c r="J85" s="109"/>
      <c r="K85" s="109"/>
      <c r="L85" s="109" t="s">
        <v>544</v>
      </c>
      <c r="M85" s="108" t="n">
        <v>1</v>
      </c>
      <c r="N85" s="111" t="str">
        <f aca="false">IF(TRIM(SUBSTITUTE(E85,CHAR(160)," "))="Avaiação de uso","Avaliação de uso",IF(TRIM(SUBSTITUTE(E85,CHAR(160)," "))="Cancelada","Cancelado",TRIM(SUBSTITUTE(E85,CHAR(160)," "))))</f>
        <v>Aprovado</v>
      </c>
      <c r="O85" s="112" t="n">
        <f aca="false">IF(ISNUMBER(F85),F85,IFERROR(DATE(RIGHT(RIGHT(TRIM(F85),10),4),MID(RIGHT(TRIM(F85),10),4,2),LEFT(RIGHT(TRIM(F85),10),2)),""))</f>
        <v>46908</v>
      </c>
      <c r="P85" s="111" t="str">
        <f aca="false">PROPER(TRIM(SUBSTITUTE(I85,CHAR(160)," ")))</f>
        <v>Diego Bauer Jung</v>
      </c>
      <c r="Q85" s="113" t="n">
        <f aca="false">IF(O85="","",O85-DataRef)</f>
        <v>607</v>
      </c>
      <c r="R85" s="111" t="str">
        <f aca="false">IF(OR(N85="Cancelado",N85="Fora de Uso"),"Inativo",IF(OR(N85="Revisão",N85="Em Elaboração"),"Em tratamento",IF(OR(N85&lt;&gt;"Aprovado",O85=""),"Validar cadastro",IF(O85&lt;DataRef,"Ação imediata",IF(O85&lt;=EDATE(DataRef,12),"Planejar revisão","Regular")))))</f>
        <v>Regular</v>
      </c>
      <c r="S85" s="111" t="str">
        <f aca="false">IF(R85="Inativo","Inativo",IF(O85="","Sem validade",IF(O85&lt;DataRef,"Vencida",IF(O85&lt;=DataRef+90,"Até 90 dias",IF(O85&lt;=EDATE(DataRef,12),"91 dias a 12 meses","Após 12 meses")))))</f>
        <v>Após 12 meses</v>
      </c>
      <c r="T85" s="114" t="n">
        <f aca="false">IF(O85="","",DATE(YEAR(O85),MONTH(O85),1))</f>
        <v>46905</v>
      </c>
      <c r="U85" s="115" t="n">
        <f aca="false">IF(R85="Ação imediata",1,IF(N85="Não encontrado",2,IF(N85="Revisão",3,IF(N85="Em Elaboração",4,IF(S85="Até 90 dias",5,IF(R85="Validar cadastro",6,0))))))</f>
        <v>0</v>
      </c>
      <c r="V85" s="111" t="str">
        <f aca="false">CHOOSE(U85+1,IF(R85="Planejar revisão","Incluir no plano anual de revisão",IF(R85="Inativo","Sem ação","Monitorar")),"Revisar ou prorrogar validade","Confirmar status no NDocs","Acompanhar revisão","Concluir elaboração","Iniciar revisão (≤ 90 dias)","Validar aplicabilidade")</f>
        <v>Monitorar</v>
      </c>
      <c r="W85" s="116" t="n">
        <f aca="false">(OR(fArea="Todas",ISNUMBER(SEARCH(fArea,G85))))*(OR(fStatus="Todos",N85=fStatus))*(OR(fSit="Todas",R85=fSit))*(OR(fResp="Todos",P85=fResp))*(OR(fHor="Todos",S85=fHor))</f>
        <v>1</v>
      </c>
      <c r="X85" s="117" t="n">
        <f aca="false">IF(AND(W85=1,U85&gt;0),(7-U85)*100000+50000-IF(ISNUMBER(Q85),Q85,0)+ROW()/1000,0)</f>
        <v>0</v>
      </c>
      <c r="Y85" s="118" t="str">
        <f aca="false">UPPER(A85&amp;" "&amp;TRIM(SUBSTITUTE(C85,CHAR(160)," "))&amp;" "&amp;TRIM(SUBSTITUTE(D85,CHAR(160)," ")))</f>
        <v>BRK-INS-01-012618-PT IT 5020-01600 DETERMINAÇÃO DA FLUORESCÊNCIA EM POLIETILENO E POLIPROPILENO</v>
      </c>
      <c r="Z85" s="118" t="str">
        <f aca="false">IF(qBusca="","",IF(ISNUMBER(SEARCH(TRIM(qBusca),Y85)),ROW(),""))</f>
        <v/>
      </c>
    </row>
    <row r="86" customFormat="false" ht="19.5" hidden="false" customHeight="true" outlineLevel="0" collapsed="false">
      <c r="A86" s="107" t="s">
        <v>545</v>
      </c>
      <c r="B86" s="108" t="s">
        <v>506</v>
      </c>
      <c r="C86" s="109" t="s">
        <v>546</v>
      </c>
      <c r="D86" s="109" t="s">
        <v>547</v>
      </c>
      <c r="E86" s="109" t="s">
        <v>162</v>
      </c>
      <c r="F86" s="110" t="n">
        <v>46493</v>
      </c>
      <c r="G86" s="108" t="s">
        <v>107</v>
      </c>
      <c r="H86" s="109" t="s">
        <v>309</v>
      </c>
      <c r="I86" s="109" t="s">
        <v>548</v>
      </c>
      <c r="J86" s="109"/>
      <c r="K86" s="109"/>
      <c r="L86" s="109" t="s">
        <v>549</v>
      </c>
      <c r="M86" s="108" t="n">
        <v>1</v>
      </c>
      <c r="N86" s="111" t="str">
        <f aca="false">IF(TRIM(SUBSTITUTE(E86,CHAR(160)," "))="Avaiação de uso","Avaliação de uso",IF(TRIM(SUBSTITUTE(E86,CHAR(160)," "))="Cancelada","Cancelado",TRIM(SUBSTITUTE(E86,CHAR(160)," "))))</f>
        <v>Aprovado</v>
      </c>
      <c r="O86" s="112" t="n">
        <f aca="false">IF(ISNUMBER(F86),F86,IFERROR(DATE(RIGHT(RIGHT(TRIM(F86),10),4),MID(RIGHT(TRIM(F86),10),4,2),LEFT(RIGHT(TRIM(F86),10),2)),""))</f>
        <v>46493</v>
      </c>
      <c r="P86" s="111" t="str">
        <f aca="false">PROPER(TRIM(SUBSTITUTE(I86,CHAR(160)," ")))</f>
        <v>Lais Almeida Nascimento</v>
      </c>
      <c r="Q86" s="113" t="n">
        <f aca="false">IF(O86="","",O86-DataRef)</f>
        <v>192</v>
      </c>
      <c r="R86" s="111" t="str">
        <f aca="false">IF(OR(N86="Cancelado",N86="Fora de Uso"),"Inativo",IF(OR(N86="Revisão",N86="Em Elaboração"),"Em tratamento",IF(OR(N86&lt;&gt;"Aprovado",O86=""),"Validar cadastro",IF(O86&lt;DataRef,"Ação imediata",IF(O86&lt;=EDATE(DataRef,12),"Planejar revisão","Regular")))))</f>
        <v>Planejar revisão</v>
      </c>
      <c r="S86" s="111" t="str">
        <f aca="false">IF(R86="Inativo","Inativo",IF(O86="","Sem validade",IF(O86&lt;DataRef,"Vencida",IF(O86&lt;=DataRef+90,"Até 90 dias",IF(O86&lt;=EDATE(DataRef,12),"91 dias a 12 meses","Após 12 meses")))))</f>
        <v>91 dias a 12 meses</v>
      </c>
      <c r="T86" s="114" t="n">
        <f aca="false">IF(O86="","",DATE(YEAR(O86),MONTH(O86),1))</f>
        <v>46478</v>
      </c>
      <c r="U86" s="115" t="n">
        <f aca="false">IF(R86="Ação imediata",1,IF(N86="Não encontrado",2,IF(N86="Revisão",3,IF(N86="Em Elaboração",4,IF(S86="Até 90 dias",5,IF(R86="Validar cadastro",6,0))))))</f>
        <v>0</v>
      </c>
      <c r="V86" s="111" t="str">
        <f aca="false">CHOOSE(U86+1,IF(R86="Planejar revisão","Incluir no plano anual de revisão",IF(R86="Inativo","Sem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86" s="116" t="n">
        <f aca="false">(OR(fArea="Todas",ISNUMBER(SEARCH(fArea,G86))))*(OR(fStatus="Todos",N86=fStatus))*(OR(fSit="Todas",R86=fSit))*(OR(fResp="Todos",P86=fResp))*(OR(fHor="Todos",S86=fHor))</f>
        <v>1</v>
      </c>
      <c r="X86" s="117" t="n">
        <f aca="false">IF(AND(W86=1,U86&gt;0),(7-U86)*100000+50000-IF(ISNUMBER(Q86),Q86,0)+ROW()/1000,0)</f>
        <v>0</v>
      </c>
      <c r="Y86" s="118" t="str">
        <f aca="false">UPPER(A86&amp;" "&amp;TRIM(SUBSTITUTE(C86,CHAR(160)," "))&amp;" "&amp;TRIM(SUBSTITUTE(D86,CHAR(160)," ")))</f>
        <v>BRK-INS-01-013009-PT IT 5020-01718 DETERMINAÇÃO DE CONTAMINAÇÃO, ANOMALIAS, APARÊNCIA, TAMANHO E UNIFORMIDADE DO POLÍMERO GRANULADO EM POLIETILENO (PE)</v>
      </c>
      <c r="Z86" s="118" t="str">
        <f aca="false">IF(qBusca="","",IF(ISNUMBER(SEARCH(TRIM(qBusca),Y86)),ROW(),""))</f>
        <v/>
      </c>
    </row>
    <row r="87" customFormat="false" ht="19.5" hidden="false" customHeight="true" outlineLevel="0" collapsed="false">
      <c r="A87" s="107" t="s">
        <v>550</v>
      </c>
      <c r="B87" s="108" t="s">
        <v>159</v>
      </c>
      <c r="C87" s="109" t="s">
        <v>551</v>
      </c>
      <c r="D87" s="109" t="s">
        <v>552</v>
      </c>
      <c r="E87" s="109" t="s">
        <v>162</v>
      </c>
      <c r="F87" s="110" t="n">
        <v>46494</v>
      </c>
      <c r="G87" s="108" t="s">
        <v>110</v>
      </c>
      <c r="H87" s="109" t="s">
        <v>309</v>
      </c>
      <c r="I87" s="109" t="s">
        <v>553</v>
      </c>
      <c r="J87" s="109"/>
      <c r="K87" s="109"/>
      <c r="L87" s="109" t="s">
        <v>554</v>
      </c>
      <c r="M87" s="108" t="n">
        <v>1</v>
      </c>
      <c r="N87" s="111" t="str">
        <f aca="false">IF(TRIM(SUBSTITUTE(E87,CHAR(160)," "))="Avaiação de uso","Avaliação de uso",IF(TRIM(SUBSTITUTE(E87,CHAR(160)," "))="Cancelada","Cancelado",TRIM(SUBSTITUTE(E87,CHAR(160)," "))))</f>
        <v>Aprovado</v>
      </c>
      <c r="O87" s="112" t="n">
        <f aca="false">IF(ISNUMBER(F87),F87,IFERROR(DATE(RIGHT(RIGHT(TRIM(F87),10),4),MID(RIGHT(TRIM(F87),10),4,2),LEFT(RIGHT(TRIM(F87),10),2)),""))</f>
        <v>46494</v>
      </c>
      <c r="P87" s="111" t="str">
        <f aca="false">PROPER(TRIM(SUBSTITUTE(I87,CHAR(160)," ")))</f>
        <v>Cristiano Dos Santos Correa</v>
      </c>
      <c r="Q87" s="113" t="n">
        <f aca="false">IF(O87="","",O87-DataRef)</f>
        <v>193</v>
      </c>
      <c r="R87" s="111" t="str">
        <f aca="false">IF(OR(N87="Cancelado",N87="Fora de Uso"),"Inativo",IF(OR(N87="Revisão",N87="Em Elaboração"),"Em tratamento",IF(OR(N87&lt;&gt;"Aprovado",O87=""),"Validar cadastro",IF(O87&lt;DataRef,"Ação imediata",IF(O87&lt;=EDATE(DataRef,12),"Planejar revisão","Regular")))))</f>
        <v>Planejar revisão</v>
      </c>
      <c r="S87" s="111" t="str">
        <f aca="false">IF(R87="Inativo","Inativo",IF(O87="","Sem validade",IF(O87&lt;DataRef,"Vencida",IF(O87&lt;=DataRef+90,"Até 90 dias",IF(O87&lt;=EDATE(DataRef,12),"91 dias a 12 meses","Após 12 meses")))))</f>
        <v>91 dias a 12 meses</v>
      </c>
      <c r="T87" s="114" t="n">
        <f aca="false">IF(O87="","",DATE(YEAR(O87),MONTH(O87),1))</f>
        <v>46478</v>
      </c>
      <c r="U87" s="115" t="n">
        <f aca="false">IF(R87="Ação imediata",1,IF(N87="Não encontrado",2,IF(N87="Revisão",3,IF(N87="Em Elaboração",4,IF(S87="Até 90 dias",5,IF(R87="Validar cadastro",6,0))))))</f>
        <v>0</v>
      </c>
      <c r="V87" s="111" t="str">
        <f aca="false">CHOOSE(U87+1,IF(R87="Planejar revisão","Incluir no plano anual de revisão",IF(R87="Inativo","Sem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87" s="116" t="n">
        <f aca="false">(OR(fArea="Todas",ISNUMBER(SEARCH(fArea,G87))))*(OR(fStatus="Todos",N87=fStatus))*(OR(fSit="Todas",R87=fSit))*(OR(fResp="Todos",P87=fResp))*(OR(fHor="Todos",S87=fHor))</f>
        <v>1</v>
      </c>
      <c r="X87" s="117" t="n">
        <f aca="false">IF(AND(W87=1,U87&gt;0),(7-U87)*100000+50000-IF(ISNUMBER(Q87),Q87,0)+ROW()/1000,0)</f>
        <v>0</v>
      </c>
      <c r="Y87" s="118" t="str">
        <f aca="false">UPPER(A87&amp;" "&amp;TRIM(SUBSTITUTE(C87,CHAR(160)," "))&amp;" "&amp;TRIM(SUBSTITUTE(D87,CHAR(160)," ")))</f>
        <v>BRK-INS-01-013305-PT IT 5020-01800 DETERMINAÇÃO DE ÍNDICE DE FLUIDEZ</v>
      </c>
      <c r="Z87" s="118" t="str">
        <f aca="false">IF(qBusca="","",IF(ISNUMBER(SEARCH(TRIM(qBusca),Y87)),ROW(),""))</f>
        <v/>
      </c>
    </row>
    <row r="88" customFormat="false" ht="19.5" hidden="false" customHeight="true" outlineLevel="0" collapsed="false">
      <c r="A88" s="107" t="s">
        <v>555</v>
      </c>
      <c r="B88" s="108" t="s">
        <v>250</v>
      </c>
      <c r="C88" s="109" t="s">
        <v>556</v>
      </c>
      <c r="D88" s="109" t="s">
        <v>557</v>
      </c>
      <c r="E88" s="109" t="s">
        <v>558</v>
      </c>
      <c r="F88" s="110" t="n">
        <v>46620</v>
      </c>
      <c r="G88" s="108" t="s">
        <v>109</v>
      </c>
      <c r="H88" s="109" t="s">
        <v>309</v>
      </c>
      <c r="I88" s="109" t="s">
        <v>559</v>
      </c>
      <c r="J88" s="109"/>
      <c r="K88" s="109"/>
      <c r="L88" s="109" t="s">
        <v>560</v>
      </c>
      <c r="M88" s="108" t="n">
        <v>1</v>
      </c>
      <c r="N88" s="111" t="str">
        <f aca="false">IF(TRIM(SUBSTITUTE(E88,CHAR(160)," "))="Avaiação de uso","Avaliação de uso",IF(TRIM(SUBSTITUTE(E88,CHAR(160)," "))="Cancelada","Cancelado",TRIM(SUBSTITUTE(E88,CHAR(160)," "))))</f>
        <v>Revisão</v>
      </c>
      <c r="O88" s="112" t="n">
        <f aca="false">IF(ISNUMBER(F88),F88,IFERROR(DATE(RIGHT(RIGHT(TRIM(F88),10),4),MID(RIGHT(TRIM(F88),10),4,2),LEFT(RIGHT(TRIM(F88),10),2)),""))</f>
        <v>46620</v>
      </c>
      <c r="P88" s="111" t="str">
        <f aca="false">PROPER(TRIM(SUBSTITUTE(I88,CHAR(160)," ")))</f>
        <v>Bruna Luisa Goldschmidt</v>
      </c>
      <c r="Q88" s="113" t="n">
        <f aca="false">IF(O88="","",O88-DataRef)</f>
        <v>319</v>
      </c>
      <c r="R88" s="111" t="str">
        <f aca="false">IF(OR(N88="Cancelado",N88="Fora de Uso"),"Inativo",IF(OR(N88="Revisão",N88="Em Elaboração"),"Em tratamento",IF(OR(N88&lt;&gt;"Aprovado",O88=""),"Validar cadastro",IF(O88&lt;DataRef,"Ação imediata",IF(O88&lt;=EDATE(DataRef,12),"Planejar revisão","Regular")))))</f>
        <v>Em tratamento</v>
      </c>
      <c r="S88" s="111" t="str">
        <f aca="false">IF(R88="Inativo","Inativo",IF(O88="","Sem validade",IF(O88&lt;DataRef,"Vencida",IF(O88&lt;=DataRef+90,"Até 90 dias",IF(O88&lt;=EDATE(DataRef,12),"91 dias a 12 meses","Após 12 meses")))))</f>
        <v>91 dias a 12 meses</v>
      </c>
      <c r="T88" s="114" t="n">
        <f aca="false">IF(O88="","",DATE(YEAR(O88),MONTH(O88),1))</f>
        <v>46600</v>
      </c>
      <c r="U88" s="115" t="n">
        <f aca="false">IF(R88="Ação imediata",1,IF(N88="Não encontrado",2,IF(N88="Revisão",3,IF(N88="Em Elaboração",4,IF(S88="Até 90 dias",5,IF(R88="Validar cadastro",6,0))))))</f>
        <v>3</v>
      </c>
      <c r="V88" s="111" t="str">
        <f aca="false">CHOOSE(U88+1,IF(R88="Planejar revisão","Incluir no plano anual de revisão",IF(R88="Inativo","Sem ação","Monitorar")),"Revisar ou prorrogar validade","Confirmar status no NDocs","Acompanhar revisão","Concluir elaboração","Iniciar revisão (≤ 90 dias)","Validar aplicabilidade")</f>
        <v>Acompanhar revisão</v>
      </c>
      <c r="W88" s="116" t="n">
        <f aca="false">(OR(fArea="Todas",ISNUMBER(SEARCH(fArea,G88))))*(OR(fStatus="Todos",N88=fStatus))*(OR(fSit="Todas",R88=fSit))*(OR(fResp="Todos",P88=fResp))*(OR(fHor="Todos",S88=fHor))</f>
        <v>1</v>
      </c>
      <c r="X88" s="117" t="n">
        <f aca="false">IF(AND(W88=1,U88&gt;0),(7-U88)*100000+50000-IF(ISNUMBER(Q88),Q88,0)+ROW()/1000,0)</f>
        <v>449681.088</v>
      </c>
      <c r="Y88" s="118" t="str">
        <f aca="false">UPPER(A88&amp;" "&amp;TRIM(SUBSTITUTE(C88,CHAR(160)," "))&amp;" "&amp;TRIM(SUBSTITUTE(D88,CHAR(160)," ")))</f>
        <v>BRK-INS-01-013358-PT IT 5020-01813 DETERMINAÇÃO DO TEOR DE SOLÚVEIS EM XILENO TOTAL, AMORFO E OLIGÔMEROS</v>
      </c>
      <c r="Z88" s="118" t="str">
        <f aca="false">IF(qBusca="","",IF(ISNUMBER(SEARCH(TRIM(qBusca),Y88)),ROW(),""))</f>
        <v/>
      </c>
    </row>
    <row r="89" customFormat="false" ht="19.5" hidden="false" customHeight="true" outlineLevel="0" collapsed="false">
      <c r="A89" s="107" t="s">
        <v>561</v>
      </c>
      <c r="B89" s="108" t="s">
        <v>250</v>
      </c>
      <c r="C89" s="109" t="s">
        <v>562</v>
      </c>
      <c r="D89" s="109" t="s">
        <v>563</v>
      </c>
      <c r="E89" s="109" t="s">
        <v>162</v>
      </c>
      <c r="F89" s="110" t="n">
        <v>47938</v>
      </c>
      <c r="G89" s="108" t="s">
        <v>110</v>
      </c>
      <c r="H89" s="109" t="s">
        <v>309</v>
      </c>
      <c r="I89" s="109" t="s">
        <v>548</v>
      </c>
      <c r="J89" s="109"/>
      <c r="K89" s="109"/>
      <c r="L89" s="109" t="s">
        <v>564</v>
      </c>
      <c r="M89" s="108" t="n">
        <v>1</v>
      </c>
      <c r="N89" s="111" t="str">
        <f aca="false">IF(TRIM(SUBSTITUTE(E89,CHAR(160)," "))="Avaiação de uso","Avaliação de uso",IF(TRIM(SUBSTITUTE(E89,CHAR(160)," "))="Cancelada","Cancelado",TRIM(SUBSTITUTE(E89,CHAR(160)," "))))</f>
        <v>Aprovado</v>
      </c>
      <c r="O89" s="112" t="n">
        <f aca="false">IF(ISNUMBER(F89),F89,IFERROR(DATE(RIGHT(RIGHT(TRIM(F89),10),4),MID(RIGHT(TRIM(F89),10),4,2),LEFT(RIGHT(TRIM(F89),10),2)),""))</f>
        <v>47938</v>
      </c>
      <c r="P89" s="111" t="str">
        <f aca="false">PROPER(TRIM(SUBSTITUTE(I89,CHAR(160)," ")))</f>
        <v>Lais Almeida Nascimento</v>
      </c>
      <c r="Q89" s="113" t="n">
        <f aca="false">IF(O89="","",O89-DataRef)</f>
        <v>1637</v>
      </c>
      <c r="R89" s="111" t="str">
        <f aca="false">IF(OR(N89="Cancelado",N89="Fora de Uso"),"Inativo",IF(OR(N89="Revisão",N89="Em Elaboração"),"Em tratamento",IF(OR(N89&lt;&gt;"Aprovado",O89=""),"Validar cadastro",IF(O89&lt;DataRef,"Ação imediata",IF(O89&lt;=EDATE(DataRef,12),"Planejar revisão","Regular")))))</f>
        <v>Regular</v>
      </c>
      <c r="S89" s="111" t="str">
        <f aca="false">IF(R89="Inativo","Inativo",IF(O89="","Sem validade",IF(O89&lt;DataRef,"Vencida",IF(O89&lt;=DataRef+90,"Até 90 dias",IF(O89&lt;=EDATE(DataRef,12),"91 dias a 12 meses","Após 12 meses")))))</f>
        <v>Após 12 meses</v>
      </c>
      <c r="T89" s="114" t="n">
        <f aca="false">IF(O89="","",DATE(YEAR(O89),MONTH(O89),1))</f>
        <v>47908</v>
      </c>
      <c r="U89" s="115" t="n">
        <f aca="false">IF(R89="Ação imediata",1,IF(N89="Não encontrado",2,IF(N89="Revisão",3,IF(N89="Em Elaboração",4,IF(S89="Até 90 dias",5,IF(R89="Validar cadastro",6,0))))))</f>
        <v>0</v>
      </c>
      <c r="V89" s="111" t="str">
        <f aca="false">CHOOSE(U89+1,IF(R89="Planejar revisão","Incluir no plano anual de revisão",IF(R89="Inativo","Sem ação","Monitorar")),"Revisar ou prorrogar validade","Confirmar status no NDocs","Acompanhar revisão","Concluir elaboração","Iniciar revisão (≤ 90 dias)","Validar aplicabilidade")</f>
        <v>Monitorar</v>
      </c>
      <c r="W89" s="116" t="n">
        <f aca="false">(OR(fArea="Todas",ISNUMBER(SEARCH(fArea,G89))))*(OR(fStatus="Todos",N89=fStatus))*(OR(fSit="Todas",R89=fSit))*(OR(fResp="Todos",P89=fResp))*(OR(fHor="Todos",S89=fHor))</f>
        <v>1</v>
      </c>
      <c r="X89" s="117" t="n">
        <f aca="false">IF(AND(W89=1,U89&gt;0),(7-U89)*100000+50000-IF(ISNUMBER(Q89),Q89,0)+ROW()/1000,0)</f>
        <v>0</v>
      </c>
      <c r="Y89" s="118" t="str">
        <f aca="false">UPPER(A89&amp;" "&amp;TRIM(SUBSTITUTE(C89,CHAR(160)," "))&amp;" "&amp;TRIM(SUBSTITUTE(D89,CHAR(160)," ")))</f>
        <v>BRK-INS-01-013647-PT IT 5020-01913 AVALIAÇÃO DA APARÊNCIA DE FILME VIA OCS</v>
      </c>
      <c r="Z89" s="118" t="str">
        <f aca="false">IF(qBusca="","",IF(ISNUMBER(SEARCH(TRIM(qBusca),Y89)),ROW(),""))</f>
        <v/>
      </c>
    </row>
    <row r="90" customFormat="false" ht="19.5" hidden="false" customHeight="true" outlineLevel="0" collapsed="false">
      <c r="A90" s="107" t="s">
        <v>565</v>
      </c>
      <c r="B90" s="108" t="s">
        <v>250</v>
      </c>
      <c r="C90" s="109" t="s">
        <v>566</v>
      </c>
      <c r="D90" s="109" t="s">
        <v>567</v>
      </c>
      <c r="E90" s="109" t="s">
        <v>162</v>
      </c>
      <c r="F90" s="110" t="n">
        <v>46851</v>
      </c>
      <c r="G90" s="108" t="s">
        <v>109</v>
      </c>
      <c r="H90" s="109" t="s">
        <v>309</v>
      </c>
      <c r="I90" s="109" t="s">
        <v>568</v>
      </c>
      <c r="J90" s="109"/>
      <c r="K90" s="109"/>
      <c r="L90" s="109" t="s">
        <v>569</v>
      </c>
      <c r="M90" s="108" t="n">
        <v>1</v>
      </c>
      <c r="N90" s="111" t="str">
        <f aca="false">IF(TRIM(SUBSTITUTE(E90,CHAR(160)," "))="Avaiação de uso","Avaliação de uso",IF(TRIM(SUBSTITUTE(E90,CHAR(160)," "))="Cancelada","Cancelado",TRIM(SUBSTITUTE(E90,CHAR(160)," "))))</f>
        <v>Aprovado</v>
      </c>
      <c r="O90" s="112" t="n">
        <f aca="false">IF(ISNUMBER(F90),F90,IFERROR(DATE(RIGHT(RIGHT(TRIM(F90),10),4),MID(RIGHT(TRIM(F90),10),4,2),LEFT(RIGHT(TRIM(F90),10),2)),""))</f>
        <v>46851</v>
      </c>
      <c r="P90" s="111" t="str">
        <f aca="false">PROPER(TRIM(SUBSTITUTE(I90,CHAR(160)," ")))</f>
        <v>Regina Funck Nonemacher</v>
      </c>
      <c r="Q90" s="113" t="n">
        <f aca="false">IF(O90="","",O90-DataRef)</f>
        <v>550</v>
      </c>
      <c r="R90" s="111" t="str">
        <f aca="false">IF(OR(N90="Cancelado",N90="Fora de Uso"),"Inativo",IF(OR(N90="Revisão",N90="Em Elaboração"),"Em tratamento",IF(OR(N90&lt;&gt;"Aprovado",O90=""),"Validar cadastro",IF(O90&lt;DataRef,"Ação imediata",IF(O90&lt;=EDATE(DataRef,12),"Planejar revisão","Regular")))))</f>
        <v>Regular</v>
      </c>
      <c r="S90" s="111" t="str">
        <f aca="false">IF(R90="Inativo","Inativo",IF(O90="","Sem validade",IF(O90&lt;DataRef,"Vencida",IF(O90&lt;=DataRef+90,"Até 90 dias",IF(O90&lt;=EDATE(DataRef,12),"91 dias a 12 meses","Após 12 meses")))))</f>
        <v>Após 12 meses</v>
      </c>
      <c r="T90" s="114" t="n">
        <f aca="false">IF(O90="","",DATE(YEAR(O90),MONTH(O90),1))</f>
        <v>46844</v>
      </c>
      <c r="U90" s="115" t="n">
        <f aca="false">IF(R90="Ação imediata",1,IF(N90="Não encontrado",2,IF(N90="Revisão",3,IF(N90="Em Elaboração",4,IF(S90="Até 90 dias",5,IF(R90="Validar cadastro",6,0))))))</f>
        <v>0</v>
      </c>
      <c r="V90" s="111" t="str">
        <f aca="false">CHOOSE(U90+1,IF(R90="Planejar revisão","Incluir no plano anual de revisão",IF(R90="Inativo","Sem ação","Monitorar")),"Revisar ou prorrogar validade","Confirmar status no NDocs","Acompanhar revisão","Concluir elaboração","Iniciar revisão (≤ 90 dias)","Validar aplicabilidade")</f>
        <v>Monitorar</v>
      </c>
      <c r="W90" s="116" t="n">
        <f aca="false">(OR(fArea="Todas",ISNUMBER(SEARCH(fArea,G90))))*(OR(fStatus="Todos",N90=fStatus))*(OR(fSit="Todas",R90=fSit))*(OR(fResp="Todos",P90=fResp))*(OR(fHor="Todos",S90=fHor))</f>
        <v>1</v>
      </c>
      <c r="X90" s="117" t="n">
        <f aca="false">IF(AND(W90=1,U90&gt;0),(7-U90)*100000+50000-IF(ISNUMBER(Q90),Q90,0)+ROW()/1000,0)</f>
        <v>0</v>
      </c>
      <c r="Y90" s="118" t="str">
        <f aca="false">UPPER(A90&amp;" "&amp;TRIM(SUBSTITUTE(C90,CHAR(160)," "))&amp;" "&amp;TRIM(SUBSTITUTE(D90,CHAR(160)," ")))</f>
        <v>BRK-INS-01-013840-PT IT 5020-01975 DETERMINAÇÃO DO TEOR DE ETENO EM COPOLÍMEROS E AMORFOS PROPENO-ETENO VIA FTIR</v>
      </c>
      <c r="Z90" s="118" t="str">
        <f aca="false">IF(qBusca="","",IF(ISNUMBER(SEARCH(TRIM(qBusca),Y90)),ROW(),""))</f>
        <v/>
      </c>
    </row>
    <row r="91" customFormat="false" ht="19.5" hidden="false" customHeight="true" outlineLevel="0" collapsed="false">
      <c r="A91" s="107" t="s">
        <v>570</v>
      </c>
      <c r="B91" s="108" t="s">
        <v>235</v>
      </c>
      <c r="C91" s="109" t="s">
        <v>571</v>
      </c>
      <c r="D91" s="109" t="s">
        <v>572</v>
      </c>
      <c r="E91" s="109" t="s">
        <v>162</v>
      </c>
      <c r="F91" s="110" t="n">
        <v>47729</v>
      </c>
      <c r="G91" s="108" t="s">
        <v>107</v>
      </c>
      <c r="H91" s="109" t="s">
        <v>309</v>
      </c>
      <c r="I91" s="109" t="s">
        <v>573</v>
      </c>
      <c r="J91" s="109"/>
      <c r="K91" s="109" t="s">
        <v>574</v>
      </c>
      <c r="L91" s="109" t="s">
        <v>575</v>
      </c>
      <c r="M91" s="108" t="n">
        <v>1</v>
      </c>
      <c r="N91" s="111" t="str">
        <f aca="false">IF(TRIM(SUBSTITUTE(E91,CHAR(160)," "))="Avaiação de uso","Avaliação de uso",IF(TRIM(SUBSTITUTE(E91,CHAR(160)," "))="Cancelada","Cancelado",TRIM(SUBSTITUTE(E91,CHAR(160)," "))))</f>
        <v>Aprovado</v>
      </c>
      <c r="O91" s="112" t="n">
        <f aca="false">IF(ISNUMBER(F91),F91,IFERROR(DATE(RIGHT(RIGHT(TRIM(F91),10),4),MID(RIGHT(TRIM(F91),10),4,2),LEFT(RIGHT(TRIM(F91),10),2)),""))</f>
        <v>47729</v>
      </c>
      <c r="P91" s="111" t="str">
        <f aca="false">PROPER(TRIM(SUBSTITUTE(I91,CHAR(160)," ")))</f>
        <v>Janaina Kranz De Oliveira</v>
      </c>
      <c r="Q91" s="113" t="n">
        <f aca="false">IF(O91="","",O91-DataRef)</f>
        <v>1428</v>
      </c>
      <c r="R91" s="111" t="str">
        <f aca="false">IF(OR(N91="Cancelado",N91="Fora de Uso"),"Inativo",IF(OR(N91="Revisão",N91="Em Elaboração"),"Em tratamento",IF(OR(N91&lt;&gt;"Aprovado",O91=""),"Validar cadastro",IF(O91&lt;DataRef,"Ação imediata",IF(O91&lt;=EDATE(DataRef,12),"Planejar revisão","Regular")))))</f>
        <v>Regular</v>
      </c>
      <c r="S91" s="111" t="str">
        <f aca="false">IF(R91="Inativo","Inativo",IF(O91="","Sem validade",IF(O91&lt;DataRef,"Vencida",IF(O91&lt;=DataRef+90,"Até 90 dias",IF(O91&lt;=EDATE(DataRef,12),"91 dias a 12 meses","Após 12 meses")))))</f>
        <v>Após 12 meses</v>
      </c>
      <c r="T91" s="114" t="n">
        <f aca="false">IF(O91="","",DATE(YEAR(O91),MONTH(O91),1))</f>
        <v>47727</v>
      </c>
      <c r="U91" s="115" t="n">
        <f aca="false">IF(R91="Ação imediata",1,IF(N91="Não encontrado",2,IF(N91="Revisão",3,IF(N91="Em Elaboração",4,IF(S91="Até 90 dias",5,IF(R91="Validar cadastro",6,0))))))</f>
        <v>0</v>
      </c>
      <c r="V91" s="111" t="str">
        <f aca="false">CHOOSE(U91+1,IF(R91="Planejar revisão","Incluir no plano anual de revisão",IF(R91="Inativo","Sem ação","Monitorar")),"Revisar ou prorrogar validade","Confirmar status no NDocs","Acompanhar revisão","Concluir elaboração","Iniciar revisão (≤ 90 dias)","Validar aplicabilidade")</f>
        <v>Monitorar</v>
      </c>
      <c r="W91" s="116" t="n">
        <f aca="false">(OR(fArea="Todas",ISNUMBER(SEARCH(fArea,G91))))*(OR(fStatus="Todos",N91=fStatus))*(OR(fSit="Todas",R91=fSit))*(OR(fResp="Todos",P91=fResp))*(OR(fHor="Todos",S91=fHor))</f>
        <v>1</v>
      </c>
      <c r="X91" s="117" t="n">
        <f aca="false">IF(AND(W91=1,U91&gt;0),(7-U91)*100000+50000-IF(ISNUMBER(Q91),Q91,0)+ROW()/1000,0)</f>
        <v>0</v>
      </c>
      <c r="Y91" s="118" t="str">
        <f aca="false">UPPER(A91&amp;" "&amp;TRIM(SUBSTITUTE(C91,CHAR(160)," "))&amp;" "&amp;TRIM(SUBSTITUTE(D91,CHAR(160)," ")))</f>
        <v>BRK-INS-01-014245-PT IT 5020-02130 DETERMINAÇÃO DO ÍNDICE DE AMARELECIMENTO E BRANCURA EM RESINAS POLIOLEFÍNICAS E DA LUMINOSIDADE (L) E COR (A) E (B) EM POLIETILENO DE ULTRA ALTO PESO MOLECULAR - UTEC</v>
      </c>
      <c r="Z91" s="118" t="str">
        <f aca="false">IF(qBusca="","",IF(ISNUMBER(SEARCH(TRIM(qBusca),Y91)),ROW(),""))</f>
        <v/>
      </c>
    </row>
    <row r="92" customFormat="false" ht="19.5" hidden="false" customHeight="true" outlineLevel="0" collapsed="false">
      <c r="A92" s="107" t="s">
        <v>576</v>
      </c>
      <c r="B92" s="108" t="s">
        <v>250</v>
      </c>
      <c r="C92" s="109" t="s">
        <v>577</v>
      </c>
      <c r="D92" s="109" t="s">
        <v>578</v>
      </c>
      <c r="E92" s="109" t="s">
        <v>162</v>
      </c>
      <c r="F92" s="110" t="n">
        <v>47764</v>
      </c>
      <c r="G92" s="108" t="s">
        <v>109</v>
      </c>
      <c r="H92" s="109" t="s">
        <v>309</v>
      </c>
      <c r="I92" s="109" t="s">
        <v>579</v>
      </c>
      <c r="J92" s="109"/>
      <c r="K92" s="109"/>
      <c r="L92" s="109" t="s">
        <v>580</v>
      </c>
      <c r="M92" s="108" t="n">
        <v>1</v>
      </c>
      <c r="N92" s="111" t="str">
        <f aca="false">IF(TRIM(SUBSTITUTE(E92,CHAR(160)," "))="Avaiação de uso","Avaliação de uso",IF(TRIM(SUBSTITUTE(E92,CHAR(160)," "))="Cancelada","Cancelado",TRIM(SUBSTITUTE(E92,CHAR(160)," "))))</f>
        <v>Aprovado</v>
      </c>
      <c r="O92" s="112" t="n">
        <f aca="false">IF(ISNUMBER(F92),F92,IFERROR(DATE(RIGHT(RIGHT(TRIM(F92),10),4),MID(RIGHT(TRIM(F92),10),4,2),LEFT(RIGHT(TRIM(F92),10),2)),""))</f>
        <v>47764</v>
      </c>
      <c r="P92" s="111" t="str">
        <f aca="false">PROPER(TRIM(SUBSTITUTE(I92,CHAR(160)," ")))</f>
        <v>Eduardo Stoffel Wagner</v>
      </c>
      <c r="Q92" s="113" t="n">
        <f aca="false">IF(O92="","",O92-DataRef)</f>
        <v>1463</v>
      </c>
      <c r="R92" s="111" t="str">
        <f aca="false">IF(OR(N92="Cancelado",N92="Fora de Uso"),"Inativo",IF(OR(N92="Revisão",N92="Em Elaboração"),"Em tratamento",IF(OR(N92&lt;&gt;"Aprovado",O92=""),"Validar cadastro",IF(O92&lt;DataRef,"Ação imediata",IF(O92&lt;=EDATE(DataRef,12),"Planejar revisão","Regular")))))</f>
        <v>Regular</v>
      </c>
      <c r="S92" s="111" t="str">
        <f aca="false">IF(R92="Inativo","Inativo",IF(O92="","Sem validade",IF(O92&lt;DataRef,"Vencida",IF(O92&lt;=DataRef+90,"Até 90 dias",IF(O92&lt;=EDATE(DataRef,12),"91 dias a 12 meses","Após 12 meses")))))</f>
        <v>Após 12 meses</v>
      </c>
      <c r="T92" s="114" t="n">
        <f aca="false">IF(O92="","",DATE(YEAR(O92),MONTH(O92),1))</f>
        <v>47757</v>
      </c>
      <c r="U92" s="115" t="n">
        <f aca="false">IF(R92="Ação imediata",1,IF(N92="Não encontrado",2,IF(N92="Revisão",3,IF(N92="Em Elaboração",4,IF(S92="Até 90 dias",5,IF(R92="Validar cadastro",6,0))))))</f>
        <v>0</v>
      </c>
      <c r="V92" s="111" t="str">
        <f aca="false">CHOOSE(U92+1,IF(R92="Planejar revisão","Incluir no plano anual de revisão",IF(R92="Inativo","Sem ação","Monitorar")),"Revisar ou prorrogar validade","Confirmar status no NDocs","Acompanhar revisão","Concluir elaboração","Iniciar revisão (≤ 90 dias)","Validar aplicabilidade")</f>
        <v>Monitorar</v>
      </c>
      <c r="W92" s="116" t="n">
        <f aca="false">(OR(fArea="Todas",ISNUMBER(SEARCH(fArea,G92))))*(OR(fStatus="Todos",N92=fStatus))*(OR(fSit="Todas",R92=fSit))*(OR(fResp="Todos",P92=fResp))*(OR(fHor="Todos",S92=fHor))</f>
        <v>1</v>
      </c>
      <c r="X92" s="117" t="n">
        <f aca="false">IF(AND(W92=1,U92&gt;0),(7-U92)*100000+50000-IF(ISNUMBER(Q92),Q92,0)+ROW()/1000,0)</f>
        <v>0</v>
      </c>
      <c r="Y92" s="118" t="str">
        <f aca="false">UPPER(A92&amp;" "&amp;TRIM(SUBSTITUTE(C92,CHAR(160)," "))&amp;" "&amp;TRIM(SUBSTITUTE(D92,CHAR(160)," ")))</f>
        <v>BRK-INS-01-014855-PT IT 5020-02361 DETERMINAÇÃO DE CONTAMINAÇÃO, ANOMALIAS, APARÊNCIA, TAMANHO E UNIFORMIDADE DO POLÍMERO GRANULADO EM POLIPROPILENO (PP)</v>
      </c>
      <c r="Z92" s="118" t="str">
        <f aca="false">IF(qBusca="","",IF(ISNUMBER(SEARCH(TRIM(qBusca),Y92)),ROW(),""))</f>
        <v/>
      </c>
    </row>
    <row r="93" customFormat="false" ht="19.5" hidden="false" customHeight="true" outlineLevel="0" collapsed="false">
      <c r="A93" s="107" t="s">
        <v>581</v>
      </c>
      <c r="B93" s="108" t="s">
        <v>506</v>
      </c>
      <c r="C93" s="109" t="s">
        <v>582</v>
      </c>
      <c r="D93" s="109" t="s">
        <v>583</v>
      </c>
      <c r="E93" s="109" t="s">
        <v>162</v>
      </c>
      <c r="F93" s="110" t="n">
        <v>46579</v>
      </c>
      <c r="G93" s="108" t="s">
        <v>109</v>
      </c>
      <c r="H93" s="109" t="s">
        <v>309</v>
      </c>
      <c r="I93" s="109" t="s">
        <v>538</v>
      </c>
      <c r="J93" s="109"/>
      <c r="K93" s="109"/>
      <c r="L93" s="109" t="s">
        <v>584</v>
      </c>
      <c r="M93" s="108" t="n">
        <v>1</v>
      </c>
      <c r="N93" s="111" t="str">
        <f aca="false">IF(TRIM(SUBSTITUTE(E93,CHAR(160)," "))="Avaiação de uso","Avaliação de uso",IF(TRIM(SUBSTITUTE(E93,CHAR(160)," "))="Cancelada","Cancelado",TRIM(SUBSTITUTE(E93,CHAR(160)," "))))</f>
        <v>Aprovado</v>
      </c>
      <c r="O93" s="112" t="n">
        <f aca="false">IF(ISNUMBER(F93),F93,IFERROR(DATE(RIGHT(RIGHT(TRIM(F93),10),4),MID(RIGHT(TRIM(F93),10),4,2),LEFT(RIGHT(TRIM(F93),10),2)),""))</f>
        <v>46579</v>
      </c>
      <c r="P93" s="111" t="str">
        <f aca="false">PROPER(TRIM(SUBSTITUTE(I93,CHAR(160)," ")))</f>
        <v>Elton Luis Soares Taborda</v>
      </c>
      <c r="Q93" s="113" t="n">
        <f aca="false">IF(O93="","",O93-DataRef)</f>
        <v>278</v>
      </c>
      <c r="R93" s="111" t="str">
        <f aca="false">IF(OR(N93="Cancelado",N93="Fora de Uso"),"Inativo",IF(OR(N93="Revisão",N93="Em Elaboração"),"Em tratamento",IF(OR(N93&lt;&gt;"Aprovado",O93=""),"Validar cadastro",IF(O93&lt;DataRef,"Ação imediata",IF(O93&lt;=EDATE(DataRef,12),"Planejar revisão","Regular")))))</f>
        <v>Planejar revisão</v>
      </c>
      <c r="S93" s="111" t="str">
        <f aca="false">IF(R93="Inativo","Inativo",IF(O93="","Sem validade",IF(O93&lt;DataRef,"Vencida",IF(O93&lt;=DataRef+90,"Até 90 dias",IF(O93&lt;=EDATE(DataRef,12),"91 dias a 12 meses","Após 12 meses")))))</f>
        <v>91 dias a 12 meses</v>
      </c>
      <c r="T93" s="114" t="n">
        <f aca="false">IF(O93="","",DATE(YEAR(O93),MONTH(O93),1))</f>
        <v>46569</v>
      </c>
      <c r="U93" s="115" t="n">
        <f aca="false">IF(R93="Ação imediata",1,IF(N93="Não encontrado",2,IF(N93="Revisão",3,IF(N93="Em Elaboração",4,IF(S93="Até 90 dias",5,IF(R93="Validar cadastro",6,0))))))</f>
        <v>0</v>
      </c>
      <c r="V93" s="111" t="str">
        <f aca="false">CHOOSE(U93+1,IF(R93="Planejar revisão","Incluir no plano anual de revisão",IF(R93="Inativo","Sem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93" s="116" t="n">
        <f aca="false">(OR(fArea="Todas",ISNUMBER(SEARCH(fArea,G93))))*(OR(fStatus="Todos",N93=fStatus))*(OR(fSit="Todas",R93=fSit))*(OR(fResp="Todos",P93=fResp))*(OR(fHor="Todos",S93=fHor))</f>
        <v>1</v>
      </c>
      <c r="X93" s="117" t="n">
        <f aca="false">IF(AND(W93=1,U93&gt;0),(7-U93)*100000+50000-IF(ISNUMBER(Q93),Q93,0)+ROW()/1000,0)</f>
        <v>0</v>
      </c>
      <c r="Y93" s="118" t="str">
        <f aca="false">UPPER(A93&amp;" "&amp;TRIM(SUBSTITUTE(C93,CHAR(160)," "))&amp;" "&amp;TRIM(SUBSTITUTE(D93,CHAR(160)," ")))</f>
        <v>BRK-INS-01-015313-PT IT 5020-02557 ETERMINAÇÃO DA QUALIDADE DO FILME EM POLIPROPILENO EM EXTRUSORA OCS</v>
      </c>
      <c r="Z93" s="118" t="str">
        <f aca="false">IF(qBusca="","",IF(ISNUMBER(SEARCH(TRIM(qBusca),Y93)),ROW(),""))</f>
        <v/>
      </c>
    </row>
    <row r="94" customFormat="false" ht="19.5" hidden="false" customHeight="true" outlineLevel="0" collapsed="false">
      <c r="A94" s="107" t="s">
        <v>585</v>
      </c>
      <c r="B94" s="108" t="s">
        <v>506</v>
      </c>
      <c r="C94" s="109" t="s">
        <v>586</v>
      </c>
      <c r="D94" s="109" t="s">
        <v>587</v>
      </c>
      <c r="E94" s="109" t="s">
        <v>588</v>
      </c>
      <c r="F94" s="110" t="n">
        <v>45325</v>
      </c>
      <c r="G94" s="108" t="s">
        <v>109</v>
      </c>
      <c r="H94" s="109" t="s">
        <v>589</v>
      </c>
      <c r="I94" s="109" t="s">
        <v>163</v>
      </c>
      <c r="J94" s="109"/>
      <c r="K94" s="109" t="s">
        <v>590</v>
      </c>
      <c r="L94" s="109" t="s">
        <v>591</v>
      </c>
      <c r="M94" s="108" t="n">
        <v>1</v>
      </c>
      <c r="N94" s="111" t="str">
        <f aca="false">IF(TRIM(SUBSTITUTE(E94,CHAR(160)," "))="Avaiação de uso","Avaliação de uso",IF(TRIM(SUBSTITUTE(E94,CHAR(160)," "))="Cancelada","Cancelado",TRIM(SUBSTITUTE(E94,CHAR(160)," "))))</f>
        <v>Cancelado</v>
      </c>
      <c r="O94" s="112" t="n">
        <f aca="false">IF(ISNUMBER(F94),F94,IFERROR(DATE(RIGHT(RIGHT(TRIM(F94),10),4),MID(RIGHT(TRIM(F94),10),4,2),LEFT(RIGHT(TRIM(F94),10),2)),""))</f>
        <v>45325</v>
      </c>
      <c r="P94" s="111" t="str">
        <f aca="false">PROPER(TRIM(SUBSTITUTE(I94,CHAR(160)," ")))</f>
        <v>Ana Carla Da Cruz Araujo</v>
      </c>
      <c r="Q94" s="113" t="n">
        <f aca="false">IF(O94="","",O94-DataRef)</f>
        <v>-976</v>
      </c>
      <c r="R94" s="111" t="str">
        <f aca="false">IF(OR(N94="Cancelado",N94="Fora de Uso"),"Inativo",IF(OR(N94="Revisão",N94="Em Elaboração"),"Em tratamento",IF(OR(N94&lt;&gt;"Aprovado",O94=""),"Validar cadastro",IF(O94&lt;DataRef,"Ação imediata",IF(O94&lt;=EDATE(DataRef,12),"Planejar revisão","Regular")))))</f>
        <v>Inativo</v>
      </c>
      <c r="S94" s="111" t="str">
        <f aca="false">IF(R94="Inativo","Inativo",IF(O94="","Sem validade",IF(O94&lt;DataRef,"Vencida",IF(O94&lt;=DataRef+90,"Até 90 dias",IF(O94&lt;=EDATE(DataRef,12),"91 dias a 12 meses","Após 12 meses")))))</f>
        <v>Inativo</v>
      </c>
      <c r="T94" s="114" t="n">
        <f aca="false">IF(O94="","",DATE(YEAR(O94),MONTH(O94),1))</f>
        <v>45323</v>
      </c>
      <c r="U94" s="115" t="n">
        <f aca="false">IF(R94="Ação imediata",1,IF(N94="Não encontrado",2,IF(N94="Revisão",3,IF(N94="Em Elaboração",4,IF(S94="Até 90 dias",5,IF(R94="Validar cadastro",6,0))))))</f>
        <v>0</v>
      </c>
      <c r="V94" s="111" t="str">
        <f aca="false">CHOOSE(U94+1,IF(R94="Planejar revisão","Incluir no plano anual de revisão",IF(R94="Inativo","Sem ação","Monitorar")),"Revisar ou prorrogar validade","Confirmar status no NDocs","Acompanhar revisão","Concluir elaboração","Iniciar revisão (≤ 90 dias)","Validar aplicabilidade")</f>
        <v>Sem ação</v>
      </c>
      <c r="W94" s="116" t="n">
        <f aca="false">(OR(fArea="Todas",ISNUMBER(SEARCH(fArea,G94))))*(OR(fStatus="Todos",N94=fStatus))*(OR(fSit="Todas",R94=fSit))*(OR(fResp="Todos",P94=fResp))*(OR(fHor="Todos",S94=fHor))</f>
        <v>1</v>
      </c>
      <c r="X94" s="117" t="n">
        <f aca="false">IF(AND(W94=1,U94&gt;0),(7-U94)*100000+50000-IF(ISNUMBER(Q94),Q94,0)+ROW()/1000,0)</f>
        <v>0</v>
      </c>
      <c r="Y94" s="118" t="str">
        <f aca="false">UPPER(A94&amp;" "&amp;TRIM(SUBSTITUTE(C94,CHAR(160)," "))&amp;" "&amp;TRIM(SUBSTITUTE(D94,CHAR(160)," ")))</f>
        <v>BRK-INS-01-013417-PT IT 5020-01832 OPERAÇÃO DOS EQUIPAMENTOS PARA ANÁLISE DE ÍNDICE DE FLUIDEZ DO LCQ PP5</v>
      </c>
      <c r="Z94" s="118" t="str">
        <f aca="false">IF(qBusca="","",IF(ISNUMBER(SEARCH(TRIM(qBusca),Y94)),ROW(),""))</f>
        <v/>
      </c>
    </row>
    <row r="95" customFormat="false" ht="19.5" hidden="false" customHeight="true" outlineLevel="0" collapsed="false">
      <c r="A95" s="107" t="s">
        <v>592</v>
      </c>
      <c r="B95" s="108" t="s">
        <v>506</v>
      </c>
      <c r="C95" s="109" t="s">
        <v>593</v>
      </c>
      <c r="D95" s="109" t="s">
        <v>594</v>
      </c>
      <c r="E95" s="109" t="s">
        <v>595</v>
      </c>
      <c r="F95" s="110" t="n">
        <v>47938</v>
      </c>
      <c r="G95" s="108" t="s">
        <v>110</v>
      </c>
      <c r="H95" s="109" t="s">
        <v>309</v>
      </c>
      <c r="I95" s="109" t="s">
        <v>596</v>
      </c>
      <c r="J95" s="109"/>
      <c r="K95" s="109" t="s">
        <v>597</v>
      </c>
      <c r="L95" s="109" t="s">
        <v>598</v>
      </c>
      <c r="M95" s="108" t="n">
        <v>1</v>
      </c>
      <c r="N95" s="111" t="str">
        <f aca="false">IF(TRIM(SUBSTITUTE(E95,CHAR(160)," "))="Avaiação de uso","Avaliação de uso",IF(TRIM(SUBSTITUTE(E95,CHAR(160)," "))="Cancelada","Cancelado",TRIM(SUBSTITUTE(E95,CHAR(160)," "))))</f>
        <v>Avaliação de uso</v>
      </c>
      <c r="O95" s="112" t="n">
        <f aca="false">IF(ISNUMBER(F95),F95,IFERROR(DATE(RIGHT(RIGHT(TRIM(F95),10),4),MID(RIGHT(TRIM(F95),10),4,2),LEFT(RIGHT(TRIM(F95),10),2)),""))</f>
        <v>47938</v>
      </c>
      <c r="P95" s="111" t="str">
        <f aca="false">PROPER(TRIM(SUBSTITUTE(I95,CHAR(160)," ")))</f>
        <v>Cleiton Leandro Zimmermann Pereira</v>
      </c>
      <c r="Q95" s="113" t="n">
        <f aca="false">IF(O95="","",O95-DataRef)</f>
        <v>1637</v>
      </c>
      <c r="R95" s="111" t="str">
        <f aca="false">IF(OR(N95="Cancelado",N95="Fora de Uso"),"Inativo",IF(OR(N95="Revisão",N95="Em Elaboração"),"Em tratamento",IF(OR(N95&lt;&gt;"Aprovado",O95=""),"Validar cadastro",IF(O95&lt;DataRef,"Ação imediata",IF(O95&lt;=EDATE(DataRef,12),"Planejar revisão","Regular")))))</f>
        <v>Validar cadastro</v>
      </c>
      <c r="S95" s="111" t="str">
        <f aca="false">IF(R95="Inativo","Inativo",IF(O95="","Sem validade",IF(O95&lt;DataRef,"Vencida",IF(O95&lt;=DataRef+90,"Até 90 dias",IF(O95&lt;=EDATE(DataRef,12),"91 dias a 12 meses","Após 12 meses")))))</f>
        <v>Após 12 meses</v>
      </c>
      <c r="T95" s="114" t="n">
        <f aca="false">IF(O95="","",DATE(YEAR(O95),MONTH(O95),1))</f>
        <v>47908</v>
      </c>
      <c r="U95" s="115" t="n">
        <f aca="false">IF(R95="Ação imediata",1,IF(N95="Não encontrado",2,IF(N95="Revisão",3,IF(N95="Em Elaboração",4,IF(S95="Até 90 dias",5,IF(R95="Validar cadastro",6,0))))))</f>
        <v>6</v>
      </c>
      <c r="V95" s="111" t="str">
        <f aca="false">CHOOSE(U95+1,IF(R95="Planejar revisão","Incluir no plano anual de revisão",IF(R95="Inativo","Sem ação","Monitorar")),"Revisar ou prorrogar validade","Confirmar status no NDocs","Acompanhar revisão","Concluir elaboração","Iniciar revisão (≤ 90 dias)","Validar aplicabilidade")</f>
        <v>Validar aplicabilidade</v>
      </c>
      <c r="W95" s="116" t="n">
        <f aca="false">(OR(fArea="Todas",ISNUMBER(SEARCH(fArea,G95))))*(OR(fStatus="Todos",N95=fStatus))*(OR(fSit="Todas",R95=fSit))*(OR(fResp="Todos",P95=fResp))*(OR(fHor="Todos",S95=fHor))</f>
        <v>1</v>
      </c>
      <c r="X95" s="117" t="n">
        <f aca="false">IF(AND(W95=1,U95&gt;0),(7-U95)*100000+50000-IF(ISNUMBER(Q95),Q95,0)+ROW()/1000,0)</f>
        <v>148363.095</v>
      </c>
      <c r="Y95" s="118" t="str">
        <f aca="false">UPPER(A95&amp;" "&amp;TRIM(SUBSTITUTE(C95,CHAR(160)," "))&amp;" "&amp;TRIM(SUBSTITUTE(D95,CHAR(160)," ")))</f>
        <v>BRK-INS-01-012704-PT IT 5020-01625 ONTROLE DE QUALIDADE DE RESINAS DE PE, PP E EVA - REGIONAL RS</v>
      </c>
      <c r="Z95" s="118" t="str">
        <f aca="false">IF(qBusca="","",IF(ISNUMBER(SEARCH(TRIM(qBusca),Y95)),ROW(),""))</f>
        <v/>
      </c>
    </row>
    <row r="96" customFormat="false" ht="19.5" hidden="false" customHeight="true" outlineLevel="0" collapsed="false">
      <c r="A96" s="107" t="s">
        <v>599</v>
      </c>
      <c r="B96" s="108" t="s">
        <v>600</v>
      </c>
      <c r="C96" s="109" t="s">
        <v>601</v>
      </c>
      <c r="D96" s="109" t="s">
        <v>602</v>
      </c>
      <c r="E96" s="109" t="s">
        <v>162</v>
      </c>
      <c r="F96" s="110" t="n">
        <v>48000</v>
      </c>
      <c r="G96" s="108" t="s">
        <v>38</v>
      </c>
      <c r="H96" s="109"/>
      <c r="I96" s="109" t="s">
        <v>603</v>
      </c>
      <c r="J96" s="109"/>
      <c r="K96" s="109"/>
      <c r="L96" s="109" t="s">
        <v>604</v>
      </c>
      <c r="M96" s="108" t="n">
        <v>2</v>
      </c>
      <c r="N96" s="111" t="str">
        <f aca="false">IF(TRIM(SUBSTITUTE(E96,CHAR(160)," "))="Avaiação de uso","Avaliação de uso",IF(TRIM(SUBSTITUTE(E96,CHAR(160)," "))="Cancelada","Cancelado",TRIM(SUBSTITUTE(E96,CHAR(160)," "))))</f>
        <v>Aprovado</v>
      </c>
      <c r="O96" s="112" t="n">
        <f aca="false">IF(ISNUMBER(F96),F96,IFERROR(DATE(RIGHT(RIGHT(TRIM(F96),10),4),MID(RIGHT(TRIM(F96),10),4,2),LEFT(RIGHT(TRIM(F96),10),2)),""))</f>
        <v>48000</v>
      </c>
      <c r="P96" s="111" t="str">
        <f aca="false">PROPER(TRIM(SUBSTITUTE(I96,CHAR(160)," ")))</f>
        <v>Ana Claudia Sergio De Oliveira</v>
      </c>
      <c r="Q96" s="113" t="n">
        <f aca="false">IF(O96="","",O96-DataRef)</f>
        <v>1699</v>
      </c>
      <c r="R96" s="111" t="str">
        <f aca="false">IF(OR(N96="Cancelado",N96="Fora de Uso"),"Inativo",IF(OR(N96="Revisão",N96="Em Elaboração"),"Em tratamento",IF(OR(N96&lt;&gt;"Aprovado",O96=""),"Validar cadastro",IF(O96&lt;DataRef,"Ação imediata",IF(O96&lt;=EDATE(DataRef,12),"Planejar revisão","Regular")))))</f>
        <v>Regular</v>
      </c>
      <c r="S96" s="111" t="str">
        <f aca="false">IF(R96="Inativo","Inativo",IF(O96="","Sem validade",IF(O96&lt;DataRef,"Vencida",IF(O96&lt;=DataRef+90,"Até 90 dias",IF(O96&lt;=EDATE(DataRef,12),"91 dias a 12 meses","Após 12 meses")))))</f>
        <v>Após 12 meses</v>
      </c>
      <c r="T96" s="114" t="n">
        <f aca="false">IF(O96="","",DATE(YEAR(O96),MONTH(O96),1))</f>
        <v>48000</v>
      </c>
      <c r="U96" s="115" t="n">
        <f aca="false">IF(R96="Ação imediata",1,IF(N96="Não encontrado",2,IF(N96="Revisão",3,IF(N96="Em Elaboração",4,IF(S96="Até 90 dias",5,IF(R96="Validar cadastro",6,0))))))</f>
        <v>0</v>
      </c>
      <c r="V96" s="111" t="str">
        <f aca="false">CHOOSE(U96+1,IF(R96="Planejar revisão","Incluir no plano anual de revisão",IF(R96="Inativo","Sem ação","Monitorar")),"Revisar ou prorrogar validade","Confirmar status no NDocs","Acompanhar revisão","Concluir elaboração","Iniciar revisão (≤ 90 dias)","Validar aplicabilidade")</f>
        <v>Monitorar</v>
      </c>
      <c r="W96" s="116" t="n">
        <f aca="false">(OR(fArea="Todas",ISNUMBER(SEARCH(fArea,G96))))*(OR(fStatus="Todos",N96=fStatus))*(OR(fSit="Todas",R96=fSit))*(OR(fResp="Todos",P96=fResp))*(OR(fHor="Todos",S96=fHor))</f>
        <v>1</v>
      </c>
      <c r="X96" s="117" t="n">
        <f aca="false">IF(AND(W96=1,U96&gt;0),(7-U96)*100000+50000-IF(ISNUMBER(Q96),Q96,0)+ROW()/1000,0)</f>
        <v>0</v>
      </c>
      <c r="Y96" s="118" t="str">
        <f aca="false">UPPER(A96&amp;" "&amp;TRIM(SUBSTITUTE(C96,CHAR(160)," "))&amp;" "&amp;TRIM(SUBSTITUTE(D96,CHAR(160)," ")))</f>
        <v>BRK-INS-01-016681-PT  IT 5030-02940-PT AJUSTECALIBRAÇÃO DOS ANALISADORES DE OXIGÊNIO DISSOLVIDO</v>
      </c>
      <c r="Z96" s="118" t="n">
        <f aca="false">IF(qBusca="","",IF(ISNUMBER(SEARCH(TRIM(qBusca),Y96)),ROW(),""))</f>
        <v>96</v>
      </c>
    </row>
    <row r="97" customFormat="false" ht="19.5" hidden="false" customHeight="true" outlineLevel="0" collapsed="false">
      <c r="A97" s="107" t="s">
        <v>605</v>
      </c>
      <c r="B97" s="108" t="s">
        <v>250</v>
      </c>
      <c r="C97" s="109" t="s">
        <v>606</v>
      </c>
      <c r="D97" s="109" t="s">
        <v>607</v>
      </c>
      <c r="E97" s="109" t="s">
        <v>162</v>
      </c>
      <c r="F97" s="110" t="n">
        <v>46730</v>
      </c>
      <c r="G97" s="108" t="s">
        <v>38</v>
      </c>
      <c r="H97" s="109"/>
      <c r="I97" s="109" t="s">
        <v>603</v>
      </c>
      <c r="J97" s="109"/>
      <c r="K97" s="109"/>
      <c r="L97" s="109" t="s">
        <v>608</v>
      </c>
      <c r="M97" s="108" t="n">
        <v>1</v>
      </c>
      <c r="N97" s="111" t="str">
        <f aca="false">IF(TRIM(SUBSTITUTE(E97,CHAR(160)," "))="Avaiação de uso","Avaliação de uso",IF(TRIM(SUBSTITUTE(E97,CHAR(160)," "))="Cancelada","Cancelado",TRIM(SUBSTITUTE(E97,CHAR(160)," "))))</f>
        <v>Aprovado</v>
      </c>
      <c r="O97" s="112" t="n">
        <f aca="false">IF(ISNUMBER(F97),F97,IFERROR(DATE(RIGHT(RIGHT(TRIM(F97),10),4),MID(RIGHT(TRIM(F97),10),4,2),LEFT(RIGHT(TRIM(F97),10),2)),""))</f>
        <v>46730</v>
      </c>
      <c r="P97" s="111" t="str">
        <f aca="false">PROPER(TRIM(SUBSTITUTE(I97,CHAR(160)," ")))</f>
        <v>Ana Claudia Sergio De Oliveira</v>
      </c>
      <c r="Q97" s="113" t="n">
        <f aca="false">IF(O97="","",O97-DataRef)</f>
        <v>429</v>
      </c>
      <c r="R97" s="111" t="str">
        <f aca="false">IF(OR(N97="Cancelado",N97="Fora de Uso"),"Inativo",IF(OR(N97="Revisão",N97="Em Elaboração"),"Em tratamento",IF(OR(N97&lt;&gt;"Aprovado",O97=""),"Validar cadastro",IF(O97&lt;DataRef,"Ação imediata",IF(O97&lt;=EDATE(DataRef,12),"Planejar revisão","Regular")))))</f>
        <v>Regular</v>
      </c>
      <c r="S97" s="111" t="str">
        <f aca="false">IF(R97="Inativo","Inativo",IF(O97="","Sem validade",IF(O97&lt;DataRef,"Vencida",IF(O97&lt;=DataRef+90,"Até 90 dias",IF(O97&lt;=EDATE(DataRef,12),"91 dias a 12 meses","Após 12 meses")))))</f>
        <v>Após 12 meses</v>
      </c>
      <c r="T97" s="114" t="n">
        <f aca="false">IF(O97="","",DATE(YEAR(O97),MONTH(O97),1))</f>
        <v>46722</v>
      </c>
      <c r="U97" s="115" t="n">
        <f aca="false">IF(R97="Ação imediata",1,IF(N97="Não encontrado",2,IF(N97="Revisão",3,IF(N97="Em Elaboração",4,IF(S97="Até 90 dias",5,IF(R97="Validar cadastro",6,0))))))</f>
        <v>0</v>
      </c>
      <c r="V97" s="111" t="str">
        <f aca="false">CHOOSE(U97+1,IF(R97="Planejar revisão","Incluir no plano anual de revisão",IF(R97="Inativo","Sem ação","Monitorar")),"Revisar ou prorrogar validade","Confirmar status no NDocs","Acompanhar revisão","Concluir elaboração","Iniciar revisão (≤ 90 dias)","Validar aplicabilidade")</f>
        <v>Monitorar</v>
      </c>
      <c r="W97" s="116" t="n">
        <f aca="false">(OR(fArea="Todas",ISNUMBER(SEARCH(fArea,G97))))*(OR(fStatus="Todos",N97=fStatus))*(OR(fSit="Todas",R97=fSit))*(OR(fResp="Todos",P97=fResp))*(OR(fHor="Todos",S97=fHor))</f>
        <v>1</v>
      </c>
      <c r="X97" s="117" t="n">
        <f aca="false">IF(AND(W97=1,U97&gt;0),(7-U97)*100000+50000-IF(ISNUMBER(Q97),Q97,0)+ROW()/1000,0)</f>
        <v>0</v>
      </c>
      <c r="Y97" s="118" t="str">
        <f aca="false">UPPER(A97&amp;" "&amp;TRIM(SUBSTITUTE(C97,CHAR(160)," "))&amp;" "&amp;TRIM(SUBSTITUTE(D97,CHAR(160)," ")))</f>
        <v>BRK-INS-01-010113-PT IT 5020-00246 ROTINA DIÁRIA EM ANALISADORES EM LINHA</v>
      </c>
      <c r="Z97" s="118" t="str">
        <f aca="false">IF(qBusca="","",IF(ISNUMBER(SEARCH(TRIM(qBusca),Y97)),ROW(),""))</f>
        <v/>
      </c>
    </row>
    <row r="98" customFormat="false" ht="19.5" hidden="false" customHeight="true" outlineLevel="0" collapsed="false">
      <c r="A98" s="107" t="s">
        <v>609</v>
      </c>
      <c r="B98" s="108" t="s">
        <v>235</v>
      </c>
      <c r="C98" s="109" t="s">
        <v>610</v>
      </c>
      <c r="D98" s="109" t="s">
        <v>611</v>
      </c>
      <c r="E98" s="109" t="s">
        <v>162</v>
      </c>
      <c r="F98" s="110" t="s">
        <v>612</v>
      </c>
      <c r="G98" s="108" t="s">
        <v>38</v>
      </c>
      <c r="H98" s="109"/>
      <c r="I98" s="109" t="s">
        <v>603</v>
      </c>
      <c r="J98" s="109"/>
      <c r="K98" s="109"/>
      <c r="L98" s="109" t="s">
        <v>613</v>
      </c>
      <c r="M98" s="108" t="n">
        <v>2</v>
      </c>
      <c r="N98" s="111" t="str">
        <f aca="false">IF(TRIM(SUBSTITUTE(E98,CHAR(160)," "))="Avaiação de uso","Avaliação de uso",IF(TRIM(SUBSTITUTE(E98,CHAR(160)," "))="Cancelada","Cancelado",TRIM(SUBSTITUTE(E98,CHAR(160)," "))))</f>
        <v>Aprovado</v>
      </c>
      <c r="O98" s="112" t="n">
        <f aca="false">IF(ISNUMBER(F98),F98,IFERROR(DATE(RIGHT(RIGHT(TRIM(F98),10),4),MID(RIGHT(TRIM(F98),10),4,2),LEFT(RIGHT(TRIM(F98),10),2)),""))</f>
        <v>48000</v>
      </c>
      <c r="P98" s="111" t="str">
        <f aca="false">PROPER(TRIM(SUBSTITUTE(I98,CHAR(160)," ")))</f>
        <v>Ana Claudia Sergio De Oliveira</v>
      </c>
      <c r="Q98" s="113" t="n">
        <f aca="false">IF(O98="","",O98-DataRef)</f>
        <v>1699</v>
      </c>
      <c r="R98" s="111" t="str">
        <f aca="false">IF(OR(N98="Cancelado",N98="Fora de Uso"),"Inativo",IF(OR(N98="Revisão",N98="Em Elaboração"),"Em tratamento",IF(OR(N98&lt;&gt;"Aprovado",O98=""),"Validar cadastro",IF(O98&lt;DataRef,"Ação imediata",IF(O98&lt;=EDATE(DataRef,12),"Planejar revisão","Regular")))))</f>
        <v>Regular</v>
      </c>
      <c r="S98" s="111" t="str">
        <f aca="false">IF(R98="Inativo","Inativo",IF(O98="","Sem validade",IF(O98&lt;DataRef,"Vencida",IF(O98&lt;=DataRef+90,"Até 90 dias",IF(O98&lt;=EDATE(DataRef,12),"91 dias a 12 meses","Após 12 meses")))))</f>
        <v>Após 12 meses</v>
      </c>
      <c r="T98" s="114" t="n">
        <f aca="false">IF(O98="","",DATE(YEAR(O98),MONTH(O98),1))</f>
        <v>48000</v>
      </c>
      <c r="U98" s="115" t="n">
        <f aca="false">IF(R98="Ação imediata",1,IF(N98="Não encontrado",2,IF(N98="Revisão",3,IF(N98="Em Elaboração",4,IF(S98="Até 90 dias",5,IF(R98="Validar cadastro",6,0))))))</f>
        <v>0</v>
      </c>
      <c r="V98" s="111" t="str">
        <f aca="false">CHOOSE(U98+1,IF(R98="Planejar revisão","Incluir no plano anual de revisão",IF(R98="Inativo","Sem ação","Monitorar")),"Revisar ou prorrogar validade","Confirmar status no NDocs","Acompanhar revisão","Concluir elaboração","Iniciar revisão (≤ 90 dias)","Validar aplicabilidade")</f>
        <v>Monitorar</v>
      </c>
      <c r="W98" s="116" t="n">
        <f aca="false">(OR(fArea="Todas",ISNUMBER(SEARCH(fArea,G98))))*(OR(fStatus="Todos",N98=fStatus))*(OR(fSit="Todas",R98=fSit))*(OR(fResp="Todos",P98=fResp))*(OR(fHor="Todos",S98=fHor))</f>
        <v>1</v>
      </c>
      <c r="X98" s="117" t="n">
        <f aca="false">IF(AND(W98=1,U98&gt;0),(7-U98)*100000+50000-IF(ISNUMBER(Q98),Q98,0)+ROW()/1000,0)</f>
        <v>0</v>
      </c>
      <c r="Y98" s="118" t="str">
        <f aca="false">UPPER(A98&amp;" "&amp;TRIM(SUBSTITUTE(C98,CHAR(160)," "))&amp;" "&amp;TRIM(SUBSTITUTE(D98,CHAR(160)," ")))</f>
        <v>BRK-INS-01-016231-PT IT 5030-00252 AJUSTECALIBRAÇÃO DE ANALISADORES DE UMIDADE PANAMETRICS</v>
      </c>
      <c r="Z98" s="118" t="str">
        <f aca="false">IF(qBusca="","",IF(ISNUMBER(SEARCH(TRIM(qBusca),Y98)),ROW(),""))</f>
        <v/>
      </c>
    </row>
    <row r="99" customFormat="false" ht="19.5" hidden="false" customHeight="true" outlineLevel="0" collapsed="false">
      <c r="A99" s="107" t="s">
        <v>614</v>
      </c>
      <c r="B99" s="108" t="s">
        <v>250</v>
      </c>
      <c r="C99" s="109" t="s">
        <v>615</v>
      </c>
      <c r="D99" s="109" t="s">
        <v>616</v>
      </c>
      <c r="E99" s="109" t="s">
        <v>162</v>
      </c>
      <c r="F99" s="110" t="n">
        <v>46748</v>
      </c>
      <c r="G99" s="108" t="s">
        <v>38</v>
      </c>
      <c r="H99" s="109"/>
      <c r="I99" s="109" t="s">
        <v>603</v>
      </c>
      <c r="J99" s="109"/>
      <c r="K99" s="109"/>
      <c r="L99" s="109" t="s">
        <v>617</v>
      </c>
      <c r="M99" s="108" t="n">
        <v>2</v>
      </c>
      <c r="N99" s="111" t="str">
        <f aca="false">IF(TRIM(SUBSTITUTE(E99,CHAR(160)," "))="Avaiação de uso","Avaliação de uso",IF(TRIM(SUBSTITUTE(E99,CHAR(160)," "))="Cancelada","Cancelado",TRIM(SUBSTITUTE(E99,CHAR(160)," "))))</f>
        <v>Aprovado</v>
      </c>
      <c r="O99" s="112" t="n">
        <f aca="false">IF(ISNUMBER(F99),F99,IFERROR(DATE(RIGHT(RIGHT(TRIM(F99),10),4),MID(RIGHT(TRIM(F99),10),4,2),LEFT(RIGHT(TRIM(F99),10),2)),""))</f>
        <v>46748</v>
      </c>
      <c r="P99" s="111" t="str">
        <f aca="false">PROPER(TRIM(SUBSTITUTE(I99,CHAR(160)," ")))</f>
        <v>Ana Claudia Sergio De Oliveira</v>
      </c>
      <c r="Q99" s="113" t="n">
        <f aca="false">IF(O99="","",O99-DataRef)</f>
        <v>447</v>
      </c>
      <c r="R99" s="111" t="str">
        <f aca="false">IF(OR(N99="Cancelado",N99="Fora de Uso"),"Inativo",IF(OR(N99="Revisão",N99="Em Elaboração"),"Em tratamento",IF(OR(N99&lt;&gt;"Aprovado",O99=""),"Validar cadastro",IF(O99&lt;DataRef,"Ação imediata",IF(O99&lt;=EDATE(DataRef,12),"Planejar revisão","Regular")))))</f>
        <v>Regular</v>
      </c>
      <c r="S99" s="111" t="str">
        <f aca="false">IF(R99="Inativo","Inativo",IF(O99="","Sem validade",IF(O99&lt;DataRef,"Vencida",IF(O99&lt;=DataRef+90,"Até 90 dias",IF(O99&lt;=EDATE(DataRef,12),"91 dias a 12 meses","Após 12 meses")))))</f>
        <v>Após 12 meses</v>
      </c>
      <c r="T99" s="114" t="n">
        <f aca="false">IF(O99="","",DATE(YEAR(O99),MONTH(O99),1))</f>
        <v>46722</v>
      </c>
      <c r="U99" s="115" t="n">
        <f aca="false">IF(R99="Ação imediata",1,IF(N99="Não encontrado",2,IF(N99="Revisão",3,IF(N99="Em Elaboração",4,IF(S99="Até 90 dias",5,IF(R99="Validar cadastro",6,0))))))</f>
        <v>0</v>
      </c>
      <c r="V99" s="111" t="str">
        <f aca="false">CHOOSE(U99+1,IF(R99="Planejar revisão","Incluir no plano anual de revisão",IF(R99="Inativo","Sem ação","Monitorar")),"Revisar ou prorrogar validade","Confirmar status no NDocs","Acompanhar revisão","Concluir elaboração","Iniciar revisão (≤ 90 dias)","Validar aplicabilidade")</f>
        <v>Monitorar</v>
      </c>
      <c r="W99" s="116" t="n">
        <f aca="false">(OR(fArea="Todas",ISNUMBER(SEARCH(fArea,G99))))*(OR(fStatus="Todos",N99=fStatus))*(OR(fSit="Todas",R99=fSit))*(OR(fResp="Todos",P99=fResp))*(OR(fHor="Todos",S99=fHor))</f>
        <v>1</v>
      </c>
      <c r="X99" s="117" t="n">
        <f aca="false">IF(AND(W99=1,U99&gt;0),(7-U99)*100000+50000-IF(ISNUMBER(Q99),Q99,0)+ROW()/1000,0)</f>
        <v>0</v>
      </c>
      <c r="Y99" s="118" t="str">
        <f aca="false">UPPER(A99&amp;" "&amp;TRIM(SUBSTITUTE(C99,CHAR(160)," "))&amp;" "&amp;TRIM(SUBSTITUTE(D99,CHAR(160)," ")))</f>
        <v>BRK-INS-01-010963-PT IT 5030-02040 CALIBRAÇÃO DO ANALISADOR DE TOC</v>
      </c>
      <c r="Z99" s="118" t="str">
        <f aca="false">IF(qBusca="","",IF(ISNUMBER(SEARCH(TRIM(qBusca),Y99)),ROW(),""))</f>
        <v/>
      </c>
    </row>
    <row r="100" customFormat="false" ht="19.5" hidden="false" customHeight="true" outlineLevel="0" collapsed="false">
      <c r="A100" s="107" t="s">
        <v>618</v>
      </c>
      <c r="B100" s="108" t="s">
        <v>250</v>
      </c>
      <c r="C100" s="109" t="s">
        <v>619</v>
      </c>
      <c r="D100" s="109" t="s">
        <v>620</v>
      </c>
      <c r="E100" s="109" t="s">
        <v>162</v>
      </c>
      <c r="F100" s="110" t="n">
        <v>46482</v>
      </c>
      <c r="G100" s="108" t="s">
        <v>38</v>
      </c>
      <c r="H100" s="109"/>
      <c r="I100" s="109" t="s">
        <v>603</v>
      </c>
      <c r="J100" s="109"/>
      <c r="K100" s="109"/>
      <c r="L100" s="109" t="s">
        <v>621</v>
      </c>
      <c r="M100" s="108" t="n">
        <v>1</v>
      </c>
      <c r="N100" s="111" t="str">
        <f aca="false">IF(TRIM(SUBSTITUTE(E100,CHAR(160)," "))="Avaiação de uso","Avaliação de uso",IF(TRIM(SUBSTITUTE(E100,CHAR(160)," "))="Cancelada","Cancelado",TRIM(SUBSTITUTE(E100,CHAR(160)," "))))</f>
        <v>Aprovado</v>
      </c>
      <c r="O100" s="112" t="n">
        <f aca="false">IF(ISNUMBER(F100),F100,IFERROR(DATE(RIGHT(RIGHT(TRIM(F100),10),4),MID(RIGHT(TRIM(F100),10),4,2),LEFT(RIGHT(TRIM(F100),10),2)),""))</f>
        <v>46482</v>
      </c>
      <c r="P100" s="111" t="str">
        <f aca="false">PROPER(TRIM(SUBSTITUTE(I100,CHAR(160)," ")))</f>
        <v>Ana Claudia Sergio De Oliveira</v>
      </c>
      <c r="Q100" s="113" t="n">
        <f aca="false">IF(O100="","",O100-DataRef)</f>
        <v>181</v>
      </c>
      <c r="R100" s="111" t="str">
        <f aca="false">IF(OR(N100="Cancelado",N100="Fora de Uso"),"Inativo",IF(OR(N100="Revisão",N100="Em Elaboração"),"Em tratamento",IF(OR(N100&lt;&gt;"Aprovado",O100=""),"Validar cadastro",IF(O100&lt;DataRef,"Ação imediata",IF(O100&lt;=EDATE(DataRef,12),"Planejar revisão","Regular")))))</f>
        <v>Planejar revisão</v>
      </c>
      <c r="S100" s="111" t="str">
        <f aca="false">IF(R100="Inativo","Inativo",IF(O100="","Sem validade",IF(O100&lt;DataRef,"Vencida",IF(O100&lt;=DataRef+90,"Até 90 dias",IF(O100&lt;=EDATE(DataRef,12),"91 dias a 12 meses","Após 12 meses")))))</f>
        <v>91 dias a 12 meses</v>
      </c>
      <c r="T100" s="114" t="n">
        <f aca="false">IF(O100="","",DATE(YEAR(O100),MONTH(O100),1))</f>
        <v>46478</v>
      </c>
      <c r="U100" s="115" t="n">
        <f aca="false">IF(R100="Ação imediata",1,IF(N100="Não encontrado",2,IF(N100="Revisão",3,IF(N100="Em Elaboração",4,IF(S100="Até 90 dias",5,IF(R100="Validar cadastro",6,0))))))</f>
        <v>0</v>
      </c>
      <c r="V100" s="111" t="str">
        <f aca="false">CHOOSE(U100+1,IF(R100="Planejar revisão","Incluir no plano anual de revisão",IF(R100="Inativo","Sem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100" s="116" t="n">
        <f aca="false">(OR(fArea="Todas",ISNUMBER(SEARCH(fArea,G100))))*(OR(fStatus="Todos",N100=fStatus))*(OR(fSit="Todas",R100=fSit))*(OR(fResp="Todos",P100=fResp))*(OR(fHor="Todos",S100=fHor))</f>
        <v>1</v>
      </c>
      <c r="X100" s="117" t="n">
        <f aca="false">IF(AND(W100=1,U100&gt;0),(7-U100)*100000+50000-IF(ISNUMBER(Q100),Q100,0)+ROW()/1000,0)</f>
        <v>0</v>
      </c>
      <c r="Y100" s="118" t="str">
        <f aca="false">UPPER(A100&amp;" "&amp;TRIM(SUBSTITUTE(C100,CHAR(160)," "))&amp;" "&amp;TRIM(SUBSTITUTE(D100,CHAR(160)," ")))</f>
        <v>BRK-INS-01-010224-PT IT 5030-01705 AJUSTE E OPERAÇÃO DO SISTEMA DE PURIFICAÇÃO DE ÁGUA MILLI-Q.</v>
      </c>
      <c r="Z100" s="118" t="str">
        <f aca="false">IF(qBusca="","",IF(ISNUMBER(SEARCH(TRIM(qBusca),Y100)),ROW(),""))</f>
        <v/>
      </c>
    </row>
    <row r="101" customFormat="false" ht="19.5" hidden="false" customHeight="true" outlineLevel="0" collapsed="false">
      <c r="A101" s="107" t="s">
        <v>622</v>
      </c>
      <c r="B101" s="108" t="s">
        <v>250</v>
      </c>
      <c r="C101" s="109" t="s">
        <v>623</v>
      </c>
      <c r="D101" s="109" t="s">
        <v>624</v>
      </c>
      <c r="E101" s="109" t="s">
        <v>162</v>
      </c>
      <c r="F101" s="110" t="n">
        <v>48008</v>
      </c>
      <c r="G101" s="108" t="s">
        <v>38</v>
      </c>
      <c r="H101" s="109"/>
      <c r="I101" s="109" t="s">
        <v>603</v>
      </c>
      <c r="J101" s="109"/>
      <c r="K101" s="109"/>
      <c r="L101" s="109" t="s">
        <v>625</v>
      </c>
      <c r="M101" s="108" t="n">
        <v>1</v>
      </c>
      <c r="N101" s="111" t="str">
        <f aca="false">IF(TRIM(SUBSTITUTE(E101,CHAR(160)," "))="Avaiação de uso","Avaliação de uso",IF(TRIM(SUBSTITUTE(E101,CHAR(160)," "))="Cancelada","Cancelado",TRIM(SUBSTITUTE(E101,CHAR(160)," "))))</f>
        <v>Aprovado</v>
      </c>
      <c r="O101" s="112" t="n">
        <f aca="false">IF(ISNUMBER(F101),F101,IFERROR(DATE(RIGHT(RIGHT(TRIM(F101),10),4),MID(RIGHT(TRIM(F101),10),4,2),LEFT(RIGHT(TRIM(F101),10),2)),""))</f>
        <v>48008</v>
      </c>
      <c r="P101" s="111" t="str">
        <f aca="false">PROPER(TRIM(SUBSTITUTE(I101,CHAR(160)," ")))</f>
        <v>Ana Claudia Sergio De Oliveira</v>
      </c>
      <c r="Q101" s="113" t="n">
        <f aca="false">IF(O101="","",O101-DataRef)</f>
        <v>1707</v>
      </c>
      <c r="R101" s="111" t="str">
        <f aca="false">IF(OR(N101="Cancelado",N101="Fora de Uso"),"Inativo",IF(OR(N101="Revisão",N101="Em Elaboração"),"Em tratamento",IF(OR(N101&lt;&gt;"Aprovado",O101=""),"Validar cadastro",IF(O101&lt;DataRef,"Ação imediata",IF(O101&lt;=EDATE(DataRef,12),"Planejar revisão","Regular")))))</f>
        <v>Regular</v>
      </c>
      <c r="S101" s="111" t="str">
        <f aca="false">IF(R101="Inativo","Inativo",IF(O101="","Sem validade",IF(O101&lt;DataRef,"Vencida",IF(O101&lt;=DataRef+90,"Até 90 dias",IF(O101&lt;=EDATE(DataRef,12),"91 dias a 12 meses","Após 12 meses")))))</f>
        <v>Após 12 meses</v>
      </c>
      <c r="T101" s="114" t="n">
        <f aca="false">IF(O101="","",DATE(YEAR(O101),MONTH(O101),1))</f>
        <v>48000</v>
      </c>
      <c r="U101" s="115" t="n">
        <f aca="false">IF(R101="Ação imediata",1,IF(N101="Não encontrado",2,IF(N101="Revisão",3,IF(N101="Em Elaboração",4,IF(S101="Até 90 dias",5,IF(R101="Validar cadastro",6,0))))))</f>
        <v>0</v>
      </c>
      <c r="V101" s="111" t="str">
        <f aca="false">CHOOSE(U101+1,IF(R101="Planejar revisão","Incluir no plano anual de revisão",IF(R101="Inativo","Sem ação","Monitorar")),"Revisar ou prorrogar validade","Confirmar status no NDocs","Acompanhar revisão","Concluir elaboração","Iniciar revisão (≤ 90 dias)","Validar aplicabilidade")</f>
        <v>Monitorar</v>
      </c>
      <c r="W101" s="116" t="n">
        <f aca="false">(OR(fArea="Todas",ISNUMBER(SEARCH(fArea,G101))))*(OR(fStatus="Todos",N101=fStatus))*(OR(fSit="Todas",R101=fSit))*(OR(fResp="Todos",P101=fResp))*(OR(fHor="Todos",S101=fHor))</f>
        <v>1</v>
      </c>
      <c r="X101" s="117" t="n">
        <f aca="false">IF(AND(W101=1,U101&gt;0),(7-U101)*100000+50000-IF(ISNUMBER(Q101),Q101,0)+ROW()/1000,0)</f>
        <v>0</v>
      </c>
      <c r="Y101" s="118" t="str">
        <f aca="false">UPPER(A101&amp;" "&amp;TRIM(SUBSTITUTE(C101,CHAR(160)," "))&amp;" "&amp;TRIM(SUBSTITUTE(D101,CHAR(160)," ")))</f>
        <v>BRK-INS-01-017935-PT IT 5030-01591  AJUSTE E CALIBRAÇÃO DOS CROMATÓGRAFOS DE DCX RJ</v>
      </c>
      <c r="Z101" s="118" t="str">
        <f aca="false">IF(qBusca="","",IF(ISNUMBER(SEARCH(TRIM(qBusca),Y101)),ROW(),""))</f>
        <v/>
      </c>
    </row>
    <row r="102" customFormat="false" ht="19.5" hidden="false" customHeight="true" outlineLevel="0" collapsed="false">
      <c r="A102" s="107" t="s">
        <v>626</v>
      </c>
      <c r="B102" s="108" t="s">
        <v>191</v>
      </c>
      <c r="C102" s="109" t="s">
        <v>627</v>
      </c>
      <c r="D102" s="109" t="s">
        <v>628</v>
      </c>
      <c r="E102" s="109" t="s">
        <v>162</v>
      </c>
      <c r="F102" s="110" t="n">
        <v>48104</v>
      </c>
      <c r="G102" s="108" t="s">
        <v>38</v>
      </c>
      <c r="H102" s="109"/>
      <c r="I102" s="109" t="s">
        <v>603</v>
      </c>
      <c r="J102" s="109"/>
      <c r="K102" s="109"/>
      <c r="L102" s="109" t="s">
        <v>629</v>
      </c>
      <c r="M102" s="108" t="n">
        <v>1</v>
      </c>
      <c r="N102" s="111" t="str">
        <f aca="false">IF(TRIM(SUBSTITUTE(E102,CHAR(160)," "))="Avaiação de uso","Avaliação de uso",IF(TRIM(SUBSTITUTE(E102,CHAR(160)," "))="Cancelada","Cancelado",TRIM(SUBSTITUTE(E102,CHAR(160)," "))))</f>
        <v>Aprovado</v>
      </c>
      <c r="O102" s="112" t="n">
        <f aca="false">IF(ISNUMBER(F102),F102,IFERROR(DATE(RIGHT(RIGHT(TRIM(F102),10),4),MID(RIGHT(TRIM(F102),10),4,2),LEFT(RIGHT(TRIM(F102),10),2)),""))</f>
        <v>48104</v>
      </c>
      <c r="P102" s="111" t="str">
        <f aca="false">PROPER(TRIM(SUBSTITUTE(I102,CHAR(160)," ")))</f>
        <v>Ana Claudia Sergio De Oliveira</v>
      </c>
      <c r="Q102" s="113" t="n">
        <f aca="false">IF(O102="","",O102-DataRef)</f>
        <v>1803</v>
      </c>
      <c r="R102" s="111" t="str">
        <f aca="false">IF(OR(N102="Cancelado",N102="Fora de Uso"),"Inativo",IF(OR(N102="Revisão",N102="Em Elaboração"),"Em tratamento",IF(OR(N102&lt;&gt;"Aprovado",O102=""),"Validar cadastro",IF(O102&lt;DataRef,"Ação imediata",IF(O102&lt;=EDATE(DataRef,12),"Planejar revisão","Regular")))))</f>
        <v>Regular</v>
      </c>
      <c r="S102" s="111" t="str">
        <f aca="false">IF(R102="Inativo","Inativo",IF(O102="","Sem validade",IF(O102&lt;DataRef,"Vencida",IF(O102&lt;=DataRef+90,"Até 90 dias",IF(O102&lt;=EDATE(DataRef,12),"91 dias a 12 meses","Após 12 meses")))))</f>
        <v>Após 12 meses</v>
      </c>
      <c r="T102" s="114" t="n">
        <f aca="false">IF(O102="","",DATE(YEAR(O102),MONTH(O102),1))</f>
        <v>48092</v>
      </c>
      <c r="U102" s="115" t="n">
        <f aca="false">IF(R102="Ação imediata",1,IF(N102="Não encontrado",2,IF(N102="Revisão",3,IF(N102="Em Elaboração",4,IF(S102="Até 90 dias",5,IF(R102="Validar cadastro",6,0))))))</f>
        <v>0</v>
      </c>
      <c r="V102" s="111" t="str">
        <f aca="false">CHOOSE(U102+1,IF(R102="Planejar revisão","Incluir no plano anual de revisão",IF(R102="Inativo","Sem ação","Monitorar")),"Revisar ou prorrogar validade","Confirmar status no NDocs","Acompanhar revisão","Concluir elaboração","Iniciar revisão (≤ 90 dias)","Validar aplicabilidade")</f>
        <v>Monitorar</v>
      </c>
      <c r="W102" s="116" t="n">
        <f aca="false">(OR(fArea="Todas",ISNUMBER(SEARCH(fArea,G102))))*(OR(fStatus="Todos",N102=fStatus))*(OR(fSit="Todas",R102=fSit))*(OR(fResp="Todos",P102=fResp))*(OR(fHor="Todos",S102=fHor))</f>
        <v>1</v>
      </c>
      <c r="X102" s="117" t="n">
        <f aca="false">IF(AND(W102=1,U102&gt;0),(7-U102)*100000+50000-IF(ISNUMBER(Q102),Q102,0)+ROW()/1000,0)</f>
        <v>0</v>
      </c>
      <c r="Y102" s="118" t="str">
        <f aca="false">UPPER(A102&amp;" "&amp;TRIM(SUBSTITUTE(C102,CHAR(160)," "))&amp;" "&amp;TRIM(SUBSTITUTE(D102,CHAR(160)," ")))</f>
        <v>BRK-INS-01-016205-PT  IT 5030-00248 AJUSTE E CALIBRAÇÃO DE ANALISADORES DE OXIGÊNIO DA SERVOMEX - DCX RJ</v>
      </c>
      <c r="Z102" s="118" t="n">
        <f aca="false">IF(qBusca="","",IF(ISNUMBER(SEARCH(TRIM(qBusca),Y102)),ROW(),""))</f>
        <v>102</v>
      </c>
    </row>
    <row r="103" customFormat="false" ht="19.5" hidden="false" customHeight="true" outlineLevel="0" collapsed="false">
      <c r="A103" s="107" t="s">
        <v>630</v>
      </c>
      <c r="B103" s="108" t="s">
        <v>191</v>
      </c>
      <c r="C103" s="109" t="s">
        <v>631</v>
      </c>
      <c r="D103" s="109" t="s">
        <v>632</v>
      </c>
      <c r="E103" s="109" t="s">
        <v>162</v>
      </c>
      <c r="F103" s="110" t="n">
        <v>48104</v>
      </c>
      <c r="G103" s="108" t="s">
        <v>38</v>
      </c>
      <c r="H103" s="109"/>
      <c r="I103" s="109" t="s">
        <v>603</v>
      </c>
      <c r="J103" s="109"/>
      <c r="K103" s="109"/>
      <c r="L103" s="109" t="s">
        <v>633</v>
      </c>
      <c r="M103" s="108" t="n">
        <v>1</v>
      </c>
      <c r="N103" s="111" t="str">
        <f aca="false">IF(TRIM(SUBSTITUTE(E103,CHAR(160)," "))="Avaiação de uso","Avaliação de uso",IF(TRIM(SUBSTITUTE(E103,CHAR(160)," "))="Cancelada","Cancelado",TRIM(SUBSTITUTE(E103,CHAR(160)," "))))</f>
        <v>Aprovado</v>
      </c>
      <c r="O103" s="112" t="n">
        <f aca="false">IF(ISNUMBER(F103),F103,IFERROR(DATE(RIGHT(RIGHT(TRIM(F103),10),4),MID(RIGHT(TRIM(F103),10),4,2),LEFT(RIGHT(TRIM(F103),10),2)),""))</f>
        <v>48104</v>
      </c>
      <c r="P103" s="111" t="str">
        <f aca="false">PROPER(TRIM(SUBSTITUTE(I103,CHAR(160)," ")))</f>
        <v>Ana Claudia Sergio De Oliveira</v>
      </c>
      <c r="Q103" s="113" t="n">
        <f aca="false">IF(O103="","",O103-DataRef)</f>
        <v>1803</v>
      </c>
      <c r="R103" s="111" t="str">
        <f aca="false">IF(OR(N103="Cancelado",N103="Fora de Uso"),"Inativo",IF(OR(N103="Revisão",N103="Em Elaboração"),"Em tratamento",IF(OR(N103&lt;&gt;"Aprovado",O103=""),"Validar cadastro",IF(O103&lt;DataRef,"Ação imediata",IF(O103&lt;=EDATE(DataRef,12),"Planejar revisão","Regular")))))</f>
        <v>Regular</v>
      </c>
      <c r="S103" s="111" t="str">
        <f aca="false">IF(R103="Inativo","Inativo",IF(O103="","Sem validade",IF(O103&lt;DataRef,"Vencida",IF(O103&lt;=DataRef+90,"Até 90 dias",IF(O103&lt;=EDATE(DataRef,12),"91 dias a 12 meses","Após 12 meses")))))</f>
        <v>Após 12 meses</v>
      </c>
      <c r="T103" s="114" t="n">
        <f aca="false">IF(O103="","",DATE(YEAR(O103),MONTH(O103),1))</f>
        <v>48092</v>
      </c>
      <c r="U103" s="115" t="n">
        <f aca="false">IF(R103="Ação imediata",1,IF(N103="Não encontrado",2,IF(N103="Revisão",3,IF(N103="Em Elaboração",4,IF(S103="Até 90 dias",5,IF(R103="Validar cadastro",6,0))))))</f>
        <v>0</v>
      </c>
      <c r="V103" s="111" t="str">
        <f aca="false">CHOOSE(U103+1,IF(R103="Planejar revisão","Incluir no plano anual de revisão",IF(R103="Inativo","Sem ação","Monitorar")),"Revisar ou prorrogar validade","Confirmar status no NDocs","Acompanhar revisão","Concluir elaboração","Iniciar revisão (≤ 90 dias)","Validar aplicabilidade")</f>
        <v>Monitorar</v>
      </c>
      <c r="W103" s="116" t="n">
        <f aca="false">(OR(fArea="Todas",ISNUMBER(SEARCH(fArea,G103))))*(OR(fStatus="Todos",N103=fStatus))*(OR(fSit="Todas",R103=fSit))*(OR(fResp="Todos",P103=fResp))*(OR(fHor="Todos",S103=fHor))</f>
        <v>1</v>
      </c>
      <c r="X103" s="117" t="n">
        <f aca="false">IF(AND(W103=1,U103&gt;0),(7-U103)*100000+50000-IF(ISNUMBER(Q103),Q103,0)+ROW()/1000,0)</f>
        <v>0</v>
      </c>
      <c r="Y103" s="118" t="str">
        <f aca="false">UPPER(A103&amp;" "&amp;TRIM(SUBSTITUTE(C103,CHAR(160)," "))&amp;" "&amp;TRIM(SUBSTITUTE(D103,CHAR(160)," ")))</f>
        <v>BRK-INS-01-016254-PT  IT 5030-00254 AJUSTE E CALIBRAÇÃO DE DETECTORES DE GÁS DCX RJ</v>
      </c>
      <c r="Z103" s="118" t="str">
        <f aca="false">IF(qBusca="","",IF(ISNUMBER(SEARCH(TRIM(qBusca),Y103)),ROW(),""))</f>
        <v/>
      </c>
    </row>
    <row r="104" customFormat="false" ht="19.5" hidden="false" customHeight="true" outlineLevel="0" collapsed="false">
      <c r="A104" s="107" t="s">
        <v>634</v>
      </c>
      <c r="B104" s="108" t="s">
        <v>302</v>
      </c>
      <c r="C104" s="109"/>
      <c r="D104" s="109" t="s">
        <v>635</v>
      </c>
      <c r="E104" s="109" t="s">
        <v>162</v>
      </c>
      <c r="F104" s="110" t="n">
        <v>48093</v>
      </c>
      <c r="G104" s="108" t="s">
        <v>38</v>
      </c>
      <c r="H104" s="109"/>
      <c r="I104" s="109" t="s">
        <v>603</v>
      </c>
      <c r="J104" s="109"/>
      <c r="K104" s="109"/>
      <c r="L104" s="109" t="s">
        <v>636</v>
      </c>
      <c r="M104" s="108" t="n">
        <v>1</v>
      </c>
      <c r="N104" s="111" t="str">
        <f aca="false">IF(TRIM(SUBSTITUTE(E104,CHAR(160)," "))="Avaiação de uso","Avaliação de uso",IF(TRIM(SUBSTITUTE(E104,CHAR(160)," "))="Cancelada","Cancelado",TRIM(SUBSTITUTE(E104,CHAR(160)," "))))</f>
        <v>Aprovado</v>
      </c>
      <c r="O104" s="112" t="n">
        <f aca="false">IF(ISNUMBER(F104),F104,IFERROR(DATE(RIGHT(RIGHT(TRIM(F104),10),4),MID(RIGHT(TRIM(F104),10),4,2),LEFT(RIGHT(TRIM(F104),10),2)),""))</f>
        <v>48093</v>
      </c>
      <c r="P104" s="111" t="str">
        <f aca="false">PROPER(TRIM(SUBSTITUTE(I104,CHAR(160)," ")))</f>
        <v>Ana Claudia Sergio De Oliveira</v>
      </c>
      <c r="Q104" s="113" t="n">
        <f aca="false">IF(O104="","",O104-DataRef)</f>
        <v>1792</v>
      </c>
      <c r="R104" s="111" t="str">
        <f aca="false">IF(OR(N104="Cancelado",N104="Fora de Uso"),"Inativo",IF(OR(N104="Revisão",N104="Em Elaboração"),"Em tratamento",IF(OR(N104&lt;&gt;"Aprovado",O104=""),"Validar cadastro",IF(O104&lt;DataRef,"Ação imediata",IF(O104&lt;=EDATE(DataRef,12),"Planejar revisão","Regular")))))</f>
        <v>Regular</v>
      </c>
      <c r="S104" s="111" t="str">
        <f aca="false">IF(R104="Inativo","Inativo",IF(O104="","Sem validade",IF(O104&lt;DataRef,"Vencida",IF(O104&lt;=DataRef+90,"Até 90 dias",IF(O104&lt;=EDATE(DataRef,12),"91 dias a 12 meses","Após 12 meses")))))</f>
        <v>Após 12 meses</v>
      </c>
      <c r="T104" s="114" t="n">
        <f aca="false">IF(O104="","",DATE(YEAR(O104),MONTH(O104),1))</f>
        <v>48092</v>
      </c>
      <c r="U104" s="115" t="n">
        <f aca="false">IF(R104="Ação imediata",1,IF(N104="Não encontrado",2,IF(N104="Revisão",3,IF(N104="Em Elaboração",4,IF(S104="Até 90 dias",5,IF(R104="Validar cadastro",6,0))))))</f>
        <v>0</v>
      </c>
      <c r="V104" s="111" t="str">
        <f aca="false">CHOOSE(U104+1,IF(R104="Planejar revisão","Incluir no plano anual de revisão",IF(R104="Inativo","Sem ação","Monitorar")),"Revisar ou prorrogar validade","Confirmar status no NDocs","Acompanhar revisão","Concluir elaboração","Iniciar revisão (≤ 90 dias)","Validar aplicabilidade")</f>
        <v>Monitorar</v>
      </c>
      <c r="W104" s="116" t="n">
        <f aca="false">(OR(fArea="Todas",ISNUMBER(SEARCH(fArea,G104))))*(OR(fStatus="Todos",N104=fStatus))*(OR(fSit="Todas",R104=fSit))*(OR(fResp="Todos",P104=fResp))*(OR(fHor="Todos",S104=fHor))</f>
        <v>1</v>
      </c>
      <c r="X104" s="117" t="n">
        <f aca="false">IF(AND(W104=1,U104&gt;0),(7-U104)*100000+50000-IF(ISNUMBER(Q104),Q104,0)+ROW()/1000,0)</f>
        <v>0</v>
      </c>
      <c r="Y104" s="118" t="str">
        <f aca="false">UPPER(A104&amp;" "&amp;TRIM(SUBSTITUTE(C104,CHAR(160)," "))&amp;" "&amp;TRIM(SUBSTITUTE(D104,CHAR(160)," ")))</f>
        <v>BRK-INS-01-021348-PT  AJUSTE E CALIBRAÇÃO DO ANALISADOR DE HIDROCARBONETO DCX RJ</v>
      </c>
      <c r="Z104" s="118" t="str">
        <f aca="false">IF(qBusca="","",IF(ISNUMBER(SEARCH(TRIM(qBusca),Y104)),ROW(),""))</f>
        <v/>
      </c>
    </row>
    <row r="105" customFormat="false" ht="19.5" hidden="false" customHeight="true" outlineLevel="0" collapsed="false">
      <c r="A105" s="107" t="s">
        <v>637</v>
      </c>
      <c r="B105" s="108" t="s">
        <v>235</v>
      </c>
      <c r="C105" s="109" t="s">
        <v>638</v>
      </c>
      <c r="D105" s="109" t="s">
        <v>639</v>
      </c>
      <c r="E105" s="109" t="s">
        <v>162</v>
      </c>
      <c r="F105" s="110" t="n">
        <v>48023</v>
      </c>
      <c r="G105" s="108" t="s">
        <v>38</v>
      </c>
      <c r="H105" s="109"/>
      <c r="I105" s="109" t="s">
        <v>603</v>
      </c>
      <c r="J105" s="109"/>
      <c r="K105" s="109"/>
      <c r="L105" s="109" t="s">
        <v>640</v>
      </c>
      <c r="M105" s="108" t="n">
        <v>1</v>
      </c>
      <c r="N105" s="111" t="str">
        <f aca="false">IF(TRIM(SUBSTITUTE(E105,CHAR(160)," "))="Avaiação de uso","Avaliação de uso",IF(TRIM(SUBSTITUTE(E105,CHAR(160)," "))="Cancelada","Cancelado",TRIM(SUBSTITUTE(E105,CHAR(160)," "))))</f>
        <v>Aprovado</v>
      </c>
      <c r="O105" s="112" t="n">
        <f aca="false">IF(ISNUMBER(F105),F105,IFERROR(DATE(RIGHT(RIGHT(TRIM(F105),10),4),MID(RIGHT(TRIM(F105),10),4,2),LEFT(RIGHT(TRIM(F105),10),2)),""))</f>
        <v>48023</v>
      </c>
      <c r="P105" s="111" t="str">
        <f aca="false">PROPER(TRIM(SUBSTITUTE(I105,CHAR(160)," ")))</f>
        <v>Ana Claudia Sergio De Oliveira</v>
      </c>
      <c r="Q105" s="113" t="n">
        <f aca="false">IF(O105="","",O105-DataRef)</f>
        <v>1722</v>
      </c>
      <c r="R105" s="111" t="str">
        <f aca="false">IF(OR(N105="Cancelado",N105="Fora de Uso"),"Inativo",IF(OR(N105="Revisão",N105="Em Elaboração"),"Em tratamento",IF(OR(N105&lt;&gt;"Aprovado",O105=""),"Validar cadastro",IF(O105&lt;DataRef,"Ação imediata",IF(O105&lt;=EDATE(DataRef,12),"Planejar revisão","Regular")))))</f>
        <v>Regular</v>
      </c>
      <c r="S105" s="111" t="str">
        <f aca="false">IF(R105="Inativo","Inativo",IF(O105="","Sem validade",IF(O105&lt;DataRef,"Vencida",IF(O105&lt;=DataRef+90,"Até 90 dias",IF(O105&lt;=EDATE(DataRef,12),"91 dias a 12 meses","Após 12 meses")))))</f>
        <v>Após 12 meses</v>
      </c>
      <c r="T105" s="114" t="n">
        <f aca="false">IF(O105="","",DATE(YEAR(O105),MONTH(O105),1))</f>
        <v>48000</v>
      </c>
      <c r="U105" s="115" t="n">
        <f aca="false">IF(R105="Ação imediata",1,IF(N105="Não encontrado",2,IF(N105="Revisão",3,IF(N105="Em Elaboração",4,IF(S105="Até 90 dias",5,IF(R105="Validar cadastro",6,0))))))</f>
        <v>0</v>
      </c>
      <c r="V105" s="111" t="str">
        <f aca="false">CHOOSE(U105+1,IF(R105="Planejar revisão","Incluir no plano anual de revisão",IF(R105="Inativo","Sem ação","Monitorar")),"Revisar ou prorrogar validade","Confirmar status no NDocs","Acompanhar revisão","Concluir elaboração","Iniciar revisão (≤ 90 dias)","Validar aplicabilidade")</f>
        <v>Monitorar</v>
      </c>
      <c r="W105" s="116" t="n">
        <f aca="false">(OR(fArea="Todas",ISNUMBER(SEARCH(fArea,G105))))*(OR(fStatus="Todos",N105=fStatus))*(OR(fSit="Todas",R105=fSit))*(OR(fResp="Todos",P105=fResp))*(OR(fHor="Todos",S105=fHor))</f>
        <v>1</v>
      </c>
      <c r="X105" s="117" t="n">
        <f aca="false">IF(AND(W105=1,U105&gt;0),(7-U105)*100000+50000-IF(ISNUMBER(Q105),Q105,0)+ROW()/1000,0)</f>
        <v>0</v>
      </c>
      <c r="Y105" s="118" t="str">
        <f aca="false">UPPER(A105&amp;" "&amp;TRIM(SUBSTITUTE(C105,CHAR(160)," "))&amp;" "&amp;TRIM(SUBSTITUTE(D105,CHAR(160)," ")))</f>
        <v>BRK-INS-01-016243-PT  IT 5030-00253 AJUSTECALIBRAÇÃO DE ANALISADORES DE TURBIDEZ DCX RJ</v>
      </c>
      <c r="Z105" s="118" t="str">
        <f aca="false">IF(qBusca="","",IF(ISNUMBER(SEARCH(TRIM(qBusca),Y105)),ROW(),""))</f>
        <v/>
      </c>
    </row>
    <row r="106" customFormat="false" ht="19.5" hidden="false" customHeight="true" outlineLevel="0" collapsed="false">
      <c r="A106" s="107" t="s">
        <v>641</v>
      </c>
      <c r="B106" s="108" t="s">
        <v>176</v>
      </c>
      <c r="C106" s="109" t="s">
        <v>642</v>
      </c>
      <c r="D106" s="109" t="s">
        <v>643</v>
      </c>
      <c r="E106" s="109" t="s">
        <v>162</v>
      </c>
      <c r="F106" s="110" t="n">
        <v>46730</v>
      </c>
      <c r="G106" s="108" t="s">
        <v>38</v>
      </c>
      <c r="H106" s="109"/>
      <c r="I106" s="109" t="s">
        <v>603</v>
      </c>
      <c r="J106" s="109"/>
      <c r="K106" s="109"/>
      <c r="L106" s="109" t="s">
        <v>644</v>
      </c>
      <c r="M106" s="108" t="n">
        <v>1</v>
      </c>
      <c r="N106" s="111" t="str">
        <f aca="false">IF(TRIM(SUBSTITUTE(E106,CHAR(160)," "))="Avaiação de uso","Avaliação de uso",IF(TRIM(SUBSTITUTE(E106,CHAR(160)," "))="Cancelada","Cancelado",TRIM(SUBSTITUTE(E106,CHAR(160)," "))))</f>
        <v>Aprovado</v>
      </c>
      <c r="O106" s="112" t="n">
        <f aca="false">IF(ISNUMBER(F106),F106,IFERROR(DATE(RIGHT(RIGHT(TRIM(F106),10),4),MID(RIGHT(TRIM(F106),10),4,2),LEFT(RIGHT(TRIM(F106),10),2)),""))</f>
        <v>46730</v>
      </c>
      <c r="P106" s="111" t="str">
        <f aca="false">PROPER(TRIM(SUBSTITUTE(I106,CHAR(160)," ")))</f>
        <v>Ana Claudia Sergio De Oliveira</v>
      </c>
      <c r="Q106" s="113" t="n">
        <f aca="false">IF(O106="","",O106-DataRef)</f>
        <v>429</v>
      </c>
      <c r="R106" s="111" t="str">
        <f aca="false">IF(OR(N106="Cancelado",N106="Fora de Uso"),"Inativo",IF(OR(N106="Revisão",N106="Em Elaboração"),"Em tratamento",IF(OR(N106&lt;&gt;"Aprovado",O106=""),"Validar cadastro",IF(O106&lt;DataRef,"Ação imediata",IF(O106&lt;=EDATE(DataRef,12),"Planejar revisão","Regular")))))</f>
        <v>Regular</v>
      </c>
      <c r="S106" s="111" t="str">
        <f aca="false">IF(R106="Inativo","Inativo",IF(O106="","Sem validade",IF(O106&lt;DataRef,"Vencida",IF(O106&lt;=DataRef+90,"Até 90 dias",IF(O106&lt;=EDATE(DataRef,12),"91 dias a 12 meses","Após 12 meses")))))</f>
        <v>Após 12 meses</v>
      </c>
      <c r="T106" s="114" t="n">
        <f aca="false">IF(O106="","",DATE(YEAR(O106),MONTH(O106),1))</f>
        <v>46722</v>
      </c>
      <c r="U106" s="115" t="n">
        <f aca="false">IF(R106="Ação imediata",1,IF(N106="Não encontrado",2,IF(N106="Revisão",3,IF(N106="Em Elaboração",4,IF(S106="Até 90 dias",5,IF(R106="Validar cadastro",6,0))))))</f>
        <v>0</v>
      </c>
      <c r="V106" s="111" t="str">
        <f aca="false">CHOOSE(U106+1,IF(R106="Planejar revisão","Incluir no plano anual de revisão",IF(R106="Inativo","Sem ação","Monitorar")),"Revisar ou prorrogar validade","Confirmar status no NDocs","Acompanhar revisão","Concluir elaboração","Iniciar revisão (≤ 90 dias)","Validar aplicabilidade")</f>
        <v>Monitorar</v>
      </c>
      <c r="W106" s="116" t="n">
        <f aca="false">(OR(fArea="Todas",ISNUMBER(SEARCH(fArea,G106))))*(OR(fStatus="Todos",N106=fStatus))*(OR(fSit="Todas",R106=fSit))*(OR(fResp="Todos",P106=fResp))*(OR(fHor="Todos",S106=fHor))</f>
        <v>1</v>
      </c>
      <c r="X106" s="117" t="n">
        <f aca="false">IF(AND(W106=1,U106&gt;0),(7-U106)*100000+50000-IF(ISNUMBER(Q106),Q106,0)+ROW()/1000,0)</f>
        <v>0</v>
      </c>
      <c r="Y106" s="118" t="str">
        <f aca="false">UPPER(A106&amp;" "&amp;TRIM(SUBSTITUTE(C106,CHAR(160)," "))&amp;" "&amp;TRIM(SUBSTITUTE(D106,CHAR(160)," ")))</f>
        <v>BRK-INS-01-016274-PT IT 5030-00258 CALIBRAÇÃO DE ANALISADORES DE CO E O2</v>
      </c>
      <c r="Z106" s="118" t="str">
        <f aca="false">IF(qBusca="","",IF(ISNUMBER(SEARCH(TRIM(qBusca),Y106)),ROW(),""))</f>
        <v/>
      </c>
    </row>
    <row r="107" customFormat="false" ht="19.5" hidden="false" customHeight="true" outlineLevel="0" collapsed="false">
      <c r="A107" s="107" t="s">
        <v>645</v>
      </c>
      <c r="B107" s="108" t="s">
        <v>646</v>
      </c>
      <c r="C107" s="109" t="s">
        <v>647</v>
      </c>
      <c r="D107" s="109" t="s">
        <v>648</v>
      </c>
      <c r="E107" s="109" t="s">
        <v>162</v>
      </c>
      <c r="F107" s="110" t="n">
        <v>48008</v>
      </c>
      <c r="G107" s="108" t="s">
        <v>38</v>
      </c>
      <c r="H107" s="109"/>
      <c r="I107" s="109" t="s">
        <v>603</v>
      </c>
      <c r="J107" s="109"/>
      <c r="K107" s="109"/>
      <c r="L107" s="109" t="s">
        <v>649</v>
      </c>
      <c r="M107" s="108" t="n">
        <v>1</v>
      </c>
      <c r="N107" s="111" t="str">
        <f aca="false">IF(TRIM(SUBSTITUTE(E107,CHAR(160)," "))="Avaiação de uso","Avaliação de uso",IF(TRIM(SUBSTITUTE(E107,CHAR(160)," "))="Cancelada","Cancelado",TRIM(SUBSTITUTE(E107,CHAR(160)," "))))</f>
        <v>Aprovado</v>
      </c>
      <c r="O107" s="112" t="n">
        <f aca="false">IF(ISNUMBER(F107),F107,IFERROR(DATE(RIGHT(RIGHT(TRIM(F107),10),4),MID(RIGHT(TRIM(F107),10),4,2),LEFT(RIGHT(TRIM(F107),10),2)),""))</f>
        <v>48008</v>
      </c>
      <c r="P107" s="111" t="str">
        <f aca="false">PROPER(TRIM(SUBSTITUTE(I107,CHAR(160)," ")))</f>
        <v>Ana Claudia Sergio De Oliveira</v>
      </c>
      <c r="Q107" s="113" t="n">
        <f aca="false">IF(O107="","",O107-DataRef)</f>
        <v>1707</v>
      </c>
      <c r="R107" s="111" t="str">
        <f aca="false">IF(OR(N107="Cancelado",N107="Fora de Uso"),"Inativo",IF(OR(N107="Revisão",N107="Em Elaboração"),"Em tratamento",IF(OR(N107&lt;&gt;"Aprovado",O107=""),"Validar cadastro",IF(O107&lt;DataRef,"Ação imediata",IF(O107&lt;=EDATE(DataRef,12),"Planejar revisão","Regular")))))</f>
        <v>Regular</v>
      </c>
      <c r="S107" s="111" t="str">
        <f aca="false">IF(R107="Inativo","Inativo",IF(O107="","Sem validade",IF(O107&lt;DataRef,"Vencida",IF(O107&lt;=DataRef+90,"Até 90 dias",IF(O107&lt;=EDATE(DataRef,12),"91 dias a 12 meses","Após 12 meses")))))</f>
        <v>Após 12 meses</v>
      </c>
      <c r="T107" s="114" t="n">
        <f aca="false">IF(O107="","",DATE(YEAR(O107),MONTH(O107),1))</f>
        <v>48000</v>
      </c>
      <c r="U107" s="115" t="n">
        <f aca="false">IF(R107="Ação imediata",1,IF(N107="Não encontrado",2,IF(N107="Revisão",3,IF(N107="Em Elaboração",4,IF(S107="Até 90 dias",5,IF(R107="Validar cadastro",6,0))))))</f>
        <v>0</v>
      </c>
      <c r="V107" s="111" t="str">
        <f aca="false">CHOOSE(U107+1,IF(R107="Planejar revisão","Incluir no plano anual de revisão",IF(R107="Inativo","Sem ação","Monitorar")),"Revisar ou prorrogar validade","Confirmar status no NDocs","Acompanhar revisão","Concluir elaboração","Iniciar revisão (≤ 90 dias)","Validar aplicabilidade")</f>
        <v>Monitorar</v>
      </c>
      <c r="W107" s="116" t="n">
        <f aca="false">(OR(fArea="Todas",ISNUMBER(SEARCH(fArea,G107))))*(OR(fStatus="Todos",N107=fStatus))*(OR(fSit="Todas",R107=fSit))*(OR(fResp="Todos",P107=fResp))*(OR(fHor="Todos",S107=fHor))</f>
        <v>1</v>
      </c>
      <c r="X107" s="117" t="n">
        <f aca="false">IF(AND(W107=1,U107&gt;0),(7-U107)*100000+50000-IF(ISNUMBER(Q107),Q107,0)+ROW()/1000,0)</f>
        <v>0</v>
      </c>
      <c r="Y107" s="118" t="str">
        <f aca="false">UPPER(A107&amp;" "&amp;TRIM(SUBSTITUTE(C107,CHAR(160)," "))&amp;" "&amp;TRIM(SUBSTITUTE(D107,CHAR(160)," ")))</f>
        <v>BRK-INS-01-015879-PT  IT 5020-02753-PT AJUSTE E CALIBRAÇÃO DO REÔMETRO PP5 - LCQ RJ</v>
      </c>
      <c r="Z107" s="118" t="str">
        <f aca="false">IF(qBusca="","",IF(ISNUMBER(SEARCH(TRIM(qBusca),Y107)),ROW(),""))</f>
        <v/>
      </c>
    </row>
    <row r="108" customFormat="false" ht="19.5" hidden="false" customHeight="true" outlineLevel="0" collapsed="false">
      <c r="A108" s="107" t="s">
        <v>650</v>
      </c>
      <c r="B108" s="108" t="s">
        <v>651</v>
      </c>
      <c r="C108" s="109" t="s">
        <v>652</v>
      </c>
      <c r="D108" s="109" t="s">
        <v>653</v>
      </c>
      <c r="E108" s="109" t="s">
        <v>162</v>
      </c>
      <c r="F108" s="110" t="n">
        <v>48007</v>
      </c>
      <c r="G108" s="108" t="s">
        <v>38</v>
      </c>
      <c r="H108" s="109"/>
      <c r="I108" s="109" t="s">
        <v>603</v>
      </c>
      <c r="J108" s="109"/>
      <c r="K108" s="109"/>
      <c r="L108" s="109" t="s">
        <v>654</v>
      </c>
      <c r="M108" s="108" t="n">
        <v>1</v>
      </c>
      <c r="N108" s="111" t="str">
        <f aca="false">IF(TRIM(SUBSTITUTE(E108,CHAR(160)," "))="Avaiação de uso","Avaliação de uso",IF(TRIM(SUBSTITUTE(E108,CHAR(160)," "))="Cancelada","Cancelado",TRIM(SUBSTITUTE(E108,CHAR(160)," "))))</f>
        <v>Aprovado</v>
      </c>
      <c r="O108" s="112" t="n">
        <f aca="false">IF(ISNUMBER(F108),F108,IFERROR(DATE(RIGHT(RIGHT(TRIM(F108),10),4),MID(RIGHT(TRIM(F108),10),4,2),LEFT(RIGHT(TRIM(F108),10),2)),""))</f>
        <v>48007</v>
      </c>
      <c r="P108" s="111" t="str">
        <f aca="false">PROPER(TRIM(SUBSTITUTE(I108,CHAR(160)," ")))</f>
        <v>Ana Claudia Sergio De Oliveira</v>
      </c>
      <c r="Q108" s="113" t="n">
        <f aca="false">IF(O108="","",O108-DataRef)</f>
        <v>1706</v>
      </c>
      <c r="R108" s="111" t="str">
        <f aca="false">IF(OR(N108="Cancelado",N108="Fora de Uso"),"Inativo",IF(OR(N108="Revisão",N108="Em Elaboração"),"Em tratamento",IF(OR(N108&lt;&gt;"Aprovado",O108=""),"Validar cadastro",IF(O108&lt;DataRef,"Ação imediata",IF(O108&lt;=EDATE(DataRef,12),"Planejar revisão","Regular")))))</f>
        <v>Regular</v>
      </c>
      <c r="S108" s="111" t="str">
        <f aca="false">IF(R108="Inativo","Inativo",IF(O108="","Sem validade",IF(O108&lt;DataRef,"Vencida",IF(O108&lt;=DataRef+90,"Até 90 dias",IF(O108&lt;=EDATE(DataRef,12),"91 dias a 12 meses","Após 12 meses")))))</f>
        <v>Após 12 meses</v>
      </c>
      <c r="T108" s="114" t="n">
        <f aca="false">IF(O108="","",DATE(YEAR(O108),MONTH(O108),1))</f>
        <v>48000</v>
      </c>
      <c r="U108" s="115" t="n">
        <f aca="false">IF(R108="Ação imediata",1,IF(N108="Não encontrado",2,IF(N108="Revisão",3,IF(N108="Em Elaboração",4,IF(S108="Até 90 dias",5,IF(R108="Validar cadastro",6,0))))))</f>
        <v>0</v>
      </c>
      <c r="V108" s="111" t="str">
        <f aca="false">CHOOSE(U108+1,IF(R108="Planejar revisão","Incluir no plano anual de revisão",IF(R108="Inativo","Sem ação","Monitorar")),"Revisar ou prorrogar validade","Confirmar status no NDocs","Acompanhar revisão","Concluir elaboração","Iniciar revisão (≤ 90 dias)","Validar aplicabilidade")</f>
        <v>Monitorar</v>
      </c>
      <c r="W108" s="116" t="n">
        <f aca="false">(OR(fArea="Todas",ISNUMBER(SEARCH(fArea,G108))))*(OR(fStatus="Todos",N108=fStatus))*(OR(fSit="Todas",R108=fSit))*(OR(fResp="Todos",P108=fResp))*(OR(fHor="Todos",S108=fHor))</f>
        <v>1</v>
      </c>
      <c r="X108" s="117" t="n">
        <f aca="false">IF(AND(W108=1,U108&gt;0),(7-U108)*100000+50000-IF(ISNUMBER(Q108),Q108,0)+ROW()/1000,0)</f>
        <v>0</v>
      </c>
      <c r="Y108" s="118" t="str">
        <f aca="false">UPPER(A108&amp;" "&amp;TRIM(SUBSTITUTE(C108,CHAR(160)," "))&amp;" "&amp;TRIM(SUBSTITUTE(D108,CHAR(160)," ")))</f>
        <v>BRK-INS-01-015358-PT  IT 5030-02313 CALIBRAÇÃO E MANUTENÇÃO DE DETECTORES DE O2 E HC - CROWCON</v>
      </c>
      <c r="Z108" s="118" t="str">
        <f aca="false">IF(qBusca="","",IF(ISNUMBER(SEARCH(TRIM(qBusca),Y108)),ROW(),""))</f>
        <v/>
      </c>
    </row>
    <row r="109" customFormat="false" ht="19.5" hidden="false" customHeight="true" outlineLevel="0" collapsed="false">
      <c r="A109" s="107" t="s">
        <v>655</v>
      </c>
      <c r="B109" s="108" t="s">
        <v>176</v>
      </c>
      <c r="C109" s="109" t="s">
        <v>656</v>
      </c>
      <c r="D109" s="109" t="s">
        <v>657</v>
      </c>
      <c r="E109" s="109" t="s">
        <v>162</v>
      </c>
      <c r="F109" s="110" t="n">
        <v>48010</v>
      </c>
      <c r="G109" s="108" t="s">
        <v>38</v>
      </c>
      <c r="H109" s="109"/>
      <c r="I109" s="109" t="s">
        <v>603</v>
      </c>
      <c r="J109" s="109"/>
      <c r="K109" s="109"/>
      <c r="L109" s="109" t="s">
        <v>658</v>
      </c>
      <c r="M109" s="108" t="n">
        <v>1</v>
      </c>
      <c r="N109" s="111" t="str">
        <f aca="false">IF(TRIM(SUBSTITUTE(E109,CHAR(160)," "))="Avaiação de uso","Avaliação de uso",IF(TRIM(SUBSTITUTE(E109,CHAR(160)," "))="Cancelada","Cancelado",TRIM(SUBSTITUTE(E109,CHAR(160)," "))))</f>
        <v>Aprovado</v>
      </c>
      <c r="O109" s="112" t="n">
        <f aca="false">IF(ISNUMBER(F109),F109,IFERROR(DATE(RIGHT(RIGHT(TRIM(F109),10),4),MID(RIGHT(TRIM(F109),10),4,2),LEFT(RIGHT(TRIM(F109),10),2)),""))</f>
        <v>48010</v>
      </c>
      <c r="P109" s="111" t="str">
        <f aca="false">PROPER(TRIM(SUBSTITUTE(I109,CHAR(160)," ")))</f>
        <v>Ana Claudia Sergio De Oliveira</v>
      </c>
      <c r="Q109" s="113" t="n">
        <f aca="false">IF(O109="","",O109-DataRef)</f>
        <v>1709</v>
      </c>
      <c r="R109" s="111" t="str">
        <f aca="false">IF(OR(N109="Cancelado",N109="Fora de Uso"),"Inativo",IF(OR(N109="Revisão",N109="Em Elaboração"),"Em tratamento",IF(OR(N109&lt;&gt;"Aprovado",O109=""),"Validar cadastro",IF(O109&lt;DataRef,"Ação imediata",IF(O109&lt;=EDATE(DataRef,12),"Planejar revisão","Regular")))))</f>
        <v>Regular</v>
      </c>
      <c r="S109" s="111" t="str">
        <f aca="false">IF(R109="Inativo","Inativo",IF(O109="","Sem validade",IF(O109&lt;DataRef,"Vencida",IF(O109&lt;=DataRef+90,"Até 90 dias",IF(O109&lt;=EDATE(DataRef,12),"91 dias a 12 meses","Após 12 meses")))))</f>
        <v>Após 12 meses</v>
      </c>
      <c r="T109" s="114" t="n">
        <f aca="false">IF(O109="","",DATE(YEAR(O109),MONTH(O109),1))</f>
        <v>48000</v>
      </c>
      <c r="U109" s="115" t="n">
        <f aca="false">IF(R109="Ação imediata",1,IF(N109="Não encontrado",2,IF(N109="Revisão",3,IF(N109="Em Elaboração",4,IF(S109="Até 90 dias",5,IF(R109="Validar cadastro",6,0))))))</f>
        <v>0</v>
      </c>
      <c r="V109" s="111" t="str">
        <f aca="false">CHOOSE(U109+1,IF(R109="Planejar revisão","Incluir no plano anual de revisão",IF(R109="Inativo","Sem ação","Monitorar")),"Revisar ou prorrogar validade","Confirmar status no NDocs","Acompanhar revisão","Concluir elaboração","Iniciar revisão (≤ 90 dias)","Validar aplicabilidade")</f>
        <v>Monitorar</v>
      </c>
      <c r="W109" s="116" t="n">
        <f aca="false">(OR(fArea="Todas",ISNUMBER(SEARCH(fArea,G109))))*(OR(fStatus="Todos",N109=fStatus))*(OR(fSit="Todas",R109=fSit))*(OR(fResp="Todos",P109=fResp))*(OR(fHor="Todos",S109=fHor))</f>
        <v>1</v>
      </c>
      <c r="X109" s="117" t="n">
        <f aca="false">IF(AND(W109=1,U109&gt;0),(7-U109)*100000+50000-IF(ISNUMBER(Q109),Q109,0)+ROW()/1000,0)</f>
        <v>0</v>
      </c>
      <c r="Y109" s="118" t="str">
        <f aca="false">UPPER(A109&amp;" "&amp;TRIM(SUBSTITUTE(C109,CHAR(160)," "))&amp;" "&amp;TRIM(SUBSTITUTE(D109,CHAR(160)," ")))</f>
        <v>BRK-INS-01-017892-PT IT 5030-01562 AJUSTE E CALIBRAÇÃO DOS ANALISADORES CONDUTIVIDADE DCX RJ</v>
      </c>
      <c r="Z109" s="118" t="str">
        <f aca="false">IF(qBusca="","",IF(ISNUMBER(SEARCH(TRIM(qBusca),Y109)),ROW(),""))</f>
        <v/>
      </c>
    </row>
    <row r="110" customFormat="false" ht="19.5" hidden="false" customHeight="true" outlineLevel="0" collapsed="false">
      <c r="A110" s="107" t="s">
        <v>659</v>
      </c>
      <c r="B110" s="108" t="s">
        <v>176</v>
      </c>
      <c r="C110" s="109" t="s">
        <v>660</v>
      </c>
      <c r="D110" s="109" t="s">
        <v>661</v>
      </c>
      <c r="E110" s="109" t="s">
        <v>162</v>
      </c>
      <c r="F110" s="110" t="n">
        <v>46482</v>
      </c>
      <c r="G110" s="108" t="s">
        <v>38</v>
      </c>
      <c r="H110" s="109"/>
      <c r="I110" s="109" t="s">
        <v>603</v>
      </c>
      <c r="J110" s="109"/>
      <c r="K110" s="109"/>
      <c r="L110" s="109" t="s">
        <v>662</v>
      </c>
      <c r="M110" s="108" t="n">
        <v>1</v>
      </c>
      <c r="N110" s="111" t="str">
        <f aca="false">IF(TRIM(SUBSTITUTE(E110,CHAR(160)," "))="Avaiação de uso","Avaliação de uso",IF(TRIM(SUBSTITUTE(E110,CHAR(160)," "))="Cancelada","Cancelado",TRIM(SUBSTITUTE(E110,CHAR(160)," "))))</f>
        <v>Aprovado</v>
      </c>
      <c r="O110" s="112" t="n">
        <f aca="false">IF(ISNUMBER(F110),F110,IFERROR(DATE(RIGHT(RIGHT(TRIM(F110),10),4),MID(RIGHT(TRIM(F110),10),4,2),LEFT(RIGHT(TRIM(F110),10),2)),""))</f>
        <v>46482</v>
      </c>
      <c r="P110" s="111" t="str">
        <f aca="false">PROPER(TRIM(SUBSTITUTE(I110,CHAR(160)," ")))</f>
        <v>Ana Claudia Sergio De Oliveira</v>
      </c>
      <c r="Q110" s="113" t="n">
        <f aca="false">IF(O110="","",O110-DataRef)</f>
        <v>181</v>
      </c>
      <c r="R110" s="111" t="str">
        <f aca="false">IF(OR(N110="Cancelado",N110="Fora de Uso"),"Inativo",IF(OR(N110="Revisão",N110="Em Elaboração"),"Em tratamento",IF(OR(N110&lt;&gt;"Aprovado",O110=""),"Validar cadastro",IF(O110&lt;DataRef,"Ação imediata",IF(O110&lt;=EDATE(DataRef,12),"Planejar revisão","Regular")))))</f>
        <v>Planejar revisão</v>
      </c>
      <c r="S110" s="111" t="str">
        <f aca="false">IF(R110="Inativo","Inativo",IF(O110="","Sem validade",IF(O110&lt;DataRef,"Vencida",IF(O110&lt;=DataRef+90,"Até 90 dias",IF(O110&lt;=EDATE(DataRef,12),"91 dias a 12 meses","Após 12 meses")))))</f>
        <v>91 dias a 12 meses</v>
      </c>
      <c r="T110" s="114" t="n">
        <f aca="false">IF(O110="","",DATE(YEAR(O110),MONTH(O110),1))</f>
        <v>46478</v>
      </c>
      <c r="U110" s="115" t="n">
        <f aca="false">IF(R110="Ação imediata",1,IF(N110="Não encontrado",2,IF(N110="Revisão",3,IF(N110="Em Elaboração",4,IF(S110="Até 90 dias",5,IF(R110="Validar cadastro",6,0))))))</f>
        <v>0</v>
      </c>
      <c r="V110" s="111" t="str">
        <f aca="false">CHOOSE(U110+1,IF(R110="Planejar revisão","Incluir no plano anual de revisão",IF(R110="Inativo","Sem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110" s="116" t="n">
        <f aca="false">(OR(fArea="Todas",ISNUMBER(SEARCH(fArea,G110))))*(OR(fStatus="Todos",N110=fStatus))*(OR(fSit="Todas",R110=fSit))*(OR(fResp="Todos",P110=fResp))*(OR(fHor="Todos",S110=fHor))</f>
        <v>1</v>
      </c>
      <c r="X110" s="117" t="n">
        <f aca="false">IF(AND(W110=1,U110&gt;0),(7-U110)*100000+50000-IF(ISNUMBER(Q110),Q110,0)+ROW()/1000,0)</f>
        <v>0</v>
      </c>
      <c r="Y110" s="118" t="str">
        <f aca="false">UPPER(A110&amp;" "&amp;TRIM(SUBSTITUTE(C110,CHAR(160)," "))&amp;" "&amp;TRIM(SUBSTITUTE(D110,CHAR(160)," ")))</f>
        <v>BRK-INS-01-010971-PT  IT 5030-02045 AJUSTECALIBRAÇÃO DOS ANALISADORES DE PH KNICK</v>
      </c>
      <c r="Z110" s="118" t="str">
        <f aca="false">IF(qBusca="","",IF(ISNUMBER(SEARCH(TRIM(qBusca),Y110)),ROW(),""))</f>
        <v/>
      </c>
    </row>
    <row r="111" customFormat="false" ht="19.5" hidden="false" customHeight="true" outlineLevel="0" collapsed="false">
      <c r="A111" s="107" t="s">
        <v>663</v>
      </c>
      <c r="B111" s="108" t="s">
        <v>664</v>
      </c>
      <c r="C111" s="109" t="s">
        <v>665</v>
      </c>
      <c r="D111" s="109" t="s">
        <v>666</v>
      </c>
      <c r="E111" s="109" t="s">
        <v>162</v>
      </c>
      <c r="F111" s="110" t="n">
        <v>48000</v>
      </c>
      <c r="G111" s="108" t="s">
        <v>38</v>
      </c>
      <c r="H111" s="109"/>
      <c r="I111" s="109" t="s">
        <v>603</v>
      </c>
      <c r="J111" s="109"/>
      <c r="K111" s="109"/>
      <c r="L111" s="109" t="s">
        <v>667</v>
      </c>
      <c r="M111" s="108" t="n">
        <v>1</v>
      </c>
      <c r="N111" s="111" t="str">
        <f aca="false">IF(TRIM(SUBSTITUTE(E111,CHAR(160)," "))="Avaiação de uso","Avaliação de uso",IF(TRIM(SUBSTITUTE(E111,CHAR(160)," "))="Cancelada","Cancelado",TRIM(SUBSTITUTE(E111,CHAR(160)," "))))</f>
        <v>Aprovado</v>
      </c>
      <c r="O111" s="112" t="n">
        <f aca="false">IF(ISNUMBER(F111),F111,IFERROR(DATE(RIGHT(RIGHT(TRIM(F111),10),4),MID(RIGHT(TRIM(F111),10),4,2),LEFT(RIGHT(TRIM(F111),10),2)),""))</f>
        <v>48000</v>
      </c>
      <c r="P111" s="111" t="str">
        <f aca="false">PROPER(TRIM(SUBSTITUTE(I111,CHAR(160)," ")))</f>
        <v>Ana Claudia Sergio De Oliveira</v>
      </c>
      <c r="Q111" s="113" t="n">
        <f aca="false">IF(O111="","",O111-DataRef)</f>
        <v>1699</v>
      </c>
      <c r="R111" s="111" t="str">
        <f aca="false">IF(OR(N111="Cancelado",N111="Fora de Uso"),"Inativo",IF(OR(N111="Revisão",N111="Em Elaboração"),"Em tratamento",IF(OR(N111&lt;&gt;"Aprovado",O111=""),"Validar cadastro",IF(O111&lt;DataRef,"Ação imediata",IF(O111&lt;=EDATE(DataRef,12),"Planejar revisão","Regular")))))</f>
        <v>Regular</v>
      </c>
      <c r="S111" s="111" t="str">
        <f aca="false">IF(R111="Inativo","Inativo",IF(O111="","Sem validade",IF(O111&lt;DataRef,"Vencida",IF(O111&lt;=DataRef+90,"Até 90 dias",IF(O111&lt;=EDATE(DataRef,12),"91 dias a 12 meses","Após 12 meses")))))</f>
        <v>Após 12 meses</v>
      </c>
      <c r="T111" s="114" t="n">
        <f aca="false">IF(O111="","",DATE(YEAR(O111),MONTH(O111),1))</f>
        <v>48000</v>
      </c>
      <c r="U111" s="115" t="n">
        <f aca="false">IF(R111="Ação imediata",1,IF(N111="Não encontrado",2,IF(N111="Revisão",3,IF(N111="Em Elaboração",4,IF(S111="Até 90 dias",5,IF(R111="Validar cadastro",6,0))))))</f>
        <v>0</v>
      </c>
      <c r="V111" s="111" t="str">
        <f aca="false">CHOOSE(U111+1,IF(R111="Planejar revisão","Incluir no plano anual de revisão",IF(R111="Inativo","Sem ação","Monitorar")),"Revisar ou prorrogar validade","Confirmar status no NDocs","Acompanhar revisão","Concluir elaboração","Iniciar revisão (≤ 90 dias)","Validar aplicabilidade")</f>
        <v>Monitorar</v>
      </c>
      <c r="W111" s="116" t="n">
        <f aca="false">(OR(fArea="Todas",ISNUMBER(SEARCH(fArea,G111))))*(OR(fStatus="Todos",N111=fStatus))*(OR(fSit="Todas",R111=fSit))*(OR(fResp="Todos",P111=fResp))*(OR(fHor="Todos",S111=fHor))</f>
        <v>1</v>
      </c>
      <c r="X111" s="117" t="n">
        <f aca="false">IF(AND(W111=1,U111&gt;0),(7-U111)*100000+50000-IF(ISNUMBER(Q111),Q111,0)+ROW()/1000,0)</f>
        <v>0</v>
      </c>
      <c r="Y111" s="118" t="str">
        <f aca="false">UPPER(A111&amp;" "&amp;TRIM(SUBSTITUTE(C111,CHAR(160)," "))&amp;" "&amp;TRIM(SUBSTITUTE(D111,CHAR(160)," ")))</f>
        <v>BRK-INS-01-019032-PT IT 5030-00250 AJUSTECALIBRAÇÃO DE DETECTORES DE CHAMA UVIR</v>
      </c>
      <c r="Z111" s="118" t="str">
        <f aca="false">IF(qBusca="","",IF(ISNUMBER(SEARCH(TRIM(qBusca),Y111)),ROW(),""))</f>
        <v/>
      </c>
    </row>
    <row r="112" customFormat="false" ht="19.5" hidden="false" customHeight="true" outlineLevel="0" collapsed="false">
      <c r="A112" s="107" t="s">
        <v>668</v>
      </c>
      <c r="B112" s="108" t="s">
        <v>600</v>
      </c>
      <c r="C112" s="109" t="s">
        <v>669</v>
      </c>
      <c r="D112" s="109" t="s">
        <v>670</v>
      </c>
      <c r="E112" s="109" t="s">
        <v>162</v>
      </c>
      <c r="F112" s="110" t="n">
        <v>48008</v>
      </c>
      <c r="G112" s="108" t="s">
        <v>38</v>
      </c>
      <c r="H112" s="109"/>
      <c r="I112" s="109" t="s">
        <v>603</v>
      </c>
      <c r="J112" s="109"/>
      <c r="K112" s="109"/>
      <c r="L112" s="109" t="s">
        <v>671</v>
      </c>
      <c r="M112" s="108" t="n">
        <v>1</v>
      </c>
      <c r="N112" s="111" t="str">
        <f aca="false">IF(TRIM(SUBSTITUTE(E112,CHAR(160)," "))="Avaiação de uso","Avaliação de uso",IF(TRIM(SUBSTITUTE(E112,CHAR(160)," "))="Cancelada","Cancelado",TRIM(SUBSTITUTE(E112,CHAR(160)," "))))</f>
        <v>Aprovado</v>
      </c>
      <c r="O112" s="112" t="n">
        <f aca="false">IF(ISNUMBER(F112),F112,IFERROR(DATE(RIGHT(RIGHT(TRIM(F112),10),4),MID(RIGHT(TRIM(F112),10),4,2),LEFT(RIGHT(TRIM(F112),10),2)),""))</f>
        <v>48008</v>
      </c>
      <c r="P112" s="111" t="str">
        <f aca="false">PROPER(TRIM(SUBSTITUTE(I112,CHAR(160)," ")))</f>
        <v>Ana Claudia Sergio De Oliveira</v>
      </c>
      <c r="Q112" s="113" t="n">
        <f aca="false">IF(O112="","",O112-DataRef)</f>
        <v>1707</v>
      </c>
      <c r="R112" s="111" t="str">
        <f aca="false">IF(OR(N112="Cancelado",N112="Fora de Uso"),"Inativo",IF(OR(N112="Revisão",N112="Em Elaboração"),"Em tratamento",IF(OR(N112&lt;&gt;"Aprovado",O112=""),"Validar cadastro",IF(O112&lt;DataRef,"Ação imediata",IF(O112&lt;=EDATE(DataRef,12),"Planejar revisão","Regular")))))</f>
        <v>Regular</v>
      </c>
      <c r="S112" s="111" t="str">
        <f aca="false">IF(R112="Inativo","Inativo",IF(O112="","Sem validade",IF(O112&lt;DataRef,"Vencida",IF(O112&lt;=DataRef+90,"Até 90 dias",IF(O112&lt;=EDATE(DataRef,12),"91 dias a 12 meses","Após 12 meses")))))</f>
        <v>Após 12 meses</v>
      </c>
      <c r="T112" s="114" t="n">
        <f aca="false">IF(O112="","",DATE(YEAR(O112),MONTH(O112),1))</f>
        <v>48000</v>
      </c>
      <c r="U112" s="115" t="n">
        <f aca="false">IF(R112="Ação imediata",1,IF(N112="Não encontrado",2,IF(N112="Revisão",3,IF(N112="Em Elaboração",4,IF(S112="Até 90 dias",5,IF(R112="Validar cadastro",6,0))))))</f>
        <v>0</v>
      </c>
      <c r="V112" s="111" t="str">
        <f aca="false">CHOOSE(U112+1,IF(R112="Planejar revisão","Incluir no plano anual de revisão",IF(R112="Inativo","Sem ação","Monitorar")),"Revisar ou prorrogar validade","Confirmar status no NDocs","Acompanhar revisão","Concluir elaboração","Iniciar revisão (≤ 90 dias)","Validar aplicabilidade")</f>
        <v>Monitorar</v>
      </c>
      <c r="W112" s="116" t="n">
        <f aca="false">(OR(fArea="Todas",ISNUMBER(SEARCH(fArea,G112))))*(OR(fStatus="Todos",N112=fStatus))*(OR(fSit="Todas",R112=fSit))*(OR(fResp="Todos",P112=fResp))*(OR(fHor="Todos",S112=fHor))</f>
        <v>1</v>
      </c>
      <c r="X112" s="117" t="n">
        <f aca="false">IF(AND(W112=1,U112&gt;0),(7-U112)*100000+50000-IF(ISNUMBER(Q112),Q112,0)+ROW()/1000,0)</f>
        <v>0</v>
      </c>
      <c r="Y112" s="118" t="str">
        <f aca="false">UPPER(A112&amp;" "&amp;TRIM(SUBSTITUTE(C112,CHAR(160)," "))&amp;" "&amp;TRIM(SUBSTITUTE(D112,CHAR(160)," ")))</f>
        <v>BRK-INS-01-016748-PT IT 5030-02962-PT AJUSTE E CALIBRAÇÃO DOS ANALISADORES PORTÁTEIS DE OXIGÊNIO DISSOLVIDO</v>
      </c>
      <c r="Z112" s="118" t="n">
        <f aca="false">IF(qBusca="","",IF(ISNUMBER(SEARCH(TRIM(qBusca),Y112)),ROW(),""))</f>
        <v>112</v>
      </c>
    </row>
    <row r="113" customFormat="false" ht="19.5" hidden="false" customHeight="true" outlineLevel="0" collapsed="false">
      <c r="A113" s="107" t="s">
        <v>672</v>
      </c>
      <c r="B113" s="108" t="s">
        <v>506</v>
      </c>
      <c r="C113" s="109" t="s">
        <v>673</v>
      </c>
      <c r="D113" s="109" t="s">
        <v>674</v>
      </c>
      <c r="E113" s="109" t="s">
        <v>162</v>
      </c>
      <c r="F113" s="110" t="s">
        <v>675</v>
      </c>
      <c r="G113" s="108" t="s">
        <v>38</v>
      </c>
      <c r="H113" s="109"/>
      <c r="I113" s="109" t="s">
        <v>603</v>
      </c>
      <c r="J113" s="109"/>
      <c r="K113" s="109"/>
      <c r="L113" s="109" t="s">
        <v>676</v>
      </c>
      <c r="M113" s="108" t="n">
        <v>1</v>
      </c>
      <c r="N113" s="111" t="str">
        <f aca="false">IF(TRIM(SUBSTITUTE(E113,CHAR(160)," "))="Avaiação de uso","Avaliação de uso",IF(TRIM(SUBSTITUTE(E113,CHAR(160)," "))="Cancelada","Cancelado",TRIM(SUBSTITUTE(E113,CHAR(160)," "))))</f>
        <v>Aprovado</v>
      </c>
      <c r="O113" s="112" t="n">
        <f aca="false">IF(ISNUMBER(F113),F113,IFERROR(DATE(RIGHT(RIGHT(TRIM(F113),10),4),MID(RIGHT(TRIM(F113),10),4,2),LEFT(RIGHT(TRIM(F113),10),2)),""))</f>
        <v>48008</v>
      </c>
      <c r="P113" s="111" t="str">
        <f aca="false">PROPER(TRIM(SUBSTITUTE(I113,CHAR(160)," ")))</f>
        <v>Ana Claudia Sergio De Oliveira</v>
      </c>
      <c r="Q113" s="113" t="n">
        <f aca="false">IF(O113="","",O113-DataRef)</f>
        <v>1707</v>
      </c>
      <c r="R113" s="111" t="str">
        <f aca="false">IF(OR(N113="Cancelado",N113="Fora de Uso"),"Inativo",IF(OR(N113="Revisão",N113="Em Elaboração"),"Em tratamento",IF(OR(N113&lt;&gt;"Aprovado",O113=""),"Validar cadastro",IF(O113&lt;DataRef,"Ação imediata",IF(O113&lt;=EDATE(DataRef,12),"Planejar revisão","Regular")))))</f>
        <v>Regular</v>
      </c>
      <c r="S113" s="111" t="str">
        <f aca="false">IF(R113="Inativo","Inativo",IF(O113="","Sem validade",IF(O113&lt;DataRef,"Vencida",IF(O113&lt;=DataRef+90,"Até 90 dias",IF(O113&lt;=EDATE(DataRef,12),"91 dias a 12 meses","Após 12 meses")))))</f>
        <v>Após 12 meses</v>
      </c>
      <c r="T113" s="114" t="n">
        <f aca="false">IF(O113="","",DATE(YEAR(O113),MONTH(O113),1))</f>
        <v>48000</v>
      </c>
      <c r="U113" s="115" t="n">
        <f aca="false">IF(R113="Ação imediata",1,IF(N113="Não encontrado",2,IF(N113="Revisão",3,IF(N113="Em Elaboração",4,IF(S113="Até 90 dias",5,IF(R113="Validar cadastro",6,0))))))</f>
        <v>0</v>
      </c>
      <c r="V113" s="111" t="str">
        <f aca="false">CHOOSE(U113+1,IF(R113="Planejar revisão","Incluir no plano anual de revisão",IF(R113="Inativo","Sem ação","Monitorar")),"Revisar ou prorrogar validade","Confirmar status no NDocs","Acompanhar revisão","Concluir elaboração","Iniciar revisão (≤ 90 dias)","Validar aplicabilidade")</f>
        <v>Monitorar</v>
      </c>
      <c r="W113" s="116" t="n">
        <f aca="false">(OR(fArea="Todas",ISNUMBER(SEARCH(fArea,G113))))*(OR(fStatus="Todos",N113=fStatus))*(OR(fSit="Todas",R113=fSit))*(OR(fResp="Todos",P113=fResp))*(OR(fHor="Todos",S113=fHor))</f>
        <v>1</v>
      </c>
      <c r="X113" s="117" t="n">
        <f aca="false">IF(AND(W113=1,U113&gt;0),(7-U113)*100000+50000-IF(ISNUMBER(Q113),Q113,0)+ROW()/1000,0)</f>
        <v>0</v>
      </c>
      <c r="Y113" s="118" t="str">
        <f aca="false">UPPER(A113&amp;" "&amp;TRIM(SUBSTITUTE(C113,CHAR(160)," "))&amp;" "&amp;TRIM(SUBSTITUTE(D113,CHAR(160)," ")))</f>
        <v>BRK-INS-01-015443-PT IT 5030-02405 AJUSTE E CALIBRAÇÃO DO CROMATÓGRAFO DE SULFURADOS - PP5</v>
      </c>
      <c r="Z113" s="118" t="str">
        <f aca="false">IF(qBusca="","",IF(ISNUMBER(SEARCH(TRIM(qBusca),Y113)),ROW(),""))</f>
        <v/>
      </c>
    </row>
    <row r="114" customFormat="false" ht="19.5" hidden="false" customHeight="true" outlineLevel="0" collapsed="false">
      <c r="A114" s="107" t="s">
        <v>677</v>
      </c>
      <c r="B114" s="108" t="s">
        <v>250</v>
      </c>
      <c r="C114" s="109" t="s">
        <v>678</v>
      </c>
      <c r="D114" s="109" t="s">
        <v>679</v>
      </c>
      <c r="E114" s="109" t="s">
        <v>162</v>
      </c>
      <c r="F114" s="110" t="n">
        <v>46730</v>
      </c>
      <c r="G114" s="108" t="s">
        <v>38</v>
      </c>
      <c r="H114" s="109"/>
      <c r="I114" s="109" t="s">
        <v>603</v>
      </c>
      <c r="J114" s="109"/>
      <c r="K114" s="109"/>
      <c r="L114" s="109" t="s">
        <v>680</v>
      </c>
      <c r="M114" s="108" t="n">
        <v>1</v>
      </c>
      <c r="N114" s="111" t="str">
        <f aca="false">IF(TRIM(SUBSTITUTE(E114,CHAR(160)," "))="Avaiação de uso","Avaliação de uso",IF(TRIM(SUBSTITUTE(E114,CHAR(160)," "))="Cancelada","Cancelado",TRIM(SUBSTITUTE(E114,CHAR(160)," "))))</f>
        <v>Aprovado</v>
      </c>
      <c r="O114" s="112" t="n">
        <f aca="false">IF(ISNUMBER(F114),F114,IFERROR(DATE(RIGHT(RIGHT(TRIM(F114),10),4),MID(RIGHT(TRIM(F114),10),4,2),LEFT(RIGHT(TRIM(F114),10),2)),""))</f>
        <v>46730</v>
      </c>
      <c r="P114" s="111" t="str">
        <f aca="false">PROPER(TRIM(SUBSTITUTE(I114,CHAR(160)," ")))</f>
        <v>Ana Claudia Sergio De Oliveira</v>
      </c>
      <c r="Q114" s="113" t="n">
        <f aca="false">IF(O114="","",O114-DataRef)</f>
        <v>429</v>
      </c>
      <c r="R114" s="111" t="str">
        <f aca="false">IF(OR(N114="Cancelado",N114="Fora de Uso"),"Inativo",IF(OR(N114="Revisão",N114="Em Elaboração"),"Em tratamento",IF(OR(N114&lt;&gt;"Aprovado",O114=""),"Validar cadastro",IF(O114&lt;DataRef,"Ação imediata",IF(O114&lt;=EDATE(DataRef,12),"Planejar revisão","Regular")))))</f>
        <v>Regular</v>
      </c>
      <c r="S114" s="111" t="str">
        <f aca="false">IF(R114="Inativo","Inativo",IF(O114="","Sem validade",IF(O114&lt;DataRef,"Vencida",IF(O114&lt;=DataRef+90,"Até 90 dias",IF(O114&lt;=EDATE(DataRef,12),"91 dias a 12 meses","Após 12 meses")))))</f>
        <v>Após 12 meses</v>
      </c>
      <c r="T114" s="114" t="n">
        <f aca="false">IF(O114="","",DATE(YEAR(O114),MONTH(O114),1))</f>
        <v>46722</v>
      </c>
      <c r="U114" s="115" t="n">
        <f aca="false">IF(R114="Ação imediata",1,IF(N114="Não encontrado",2,IF(N114="Revisão",3,IF(N114="Em Elaboração",4,IF(S114="Até 90 dias",5,IF(R114="Validar cadastro",6,0))))))</f>
        <v>0</v>
      </c>
      <c r="V114" s="111" t="str">
        <f aca="false">CHOOSE(U114+1,IF(R114="Planejar revisão","Incluir no plano anual de revisão",IF(R114="Inativo","Sem ação","Monitorar")),"Revisar ou prorrogar validade","Confirmar status no NDocs","Acompanhar revisão","Concluir elaboração","Iniciar revisão (≤ 90 dias)","Validar aplicabilidade")</f>
        <v>Monitorar</v>
      </c>
      <c r="W114" s="116" t="n">
        <f aca="false">(OR(fArea="Todas",ISNUMBER(SEARCH(fArea,G114))))*(OR(fStatus="Todos",N114=fStatus))*(OR(fSit="Todas",R114=fSit))*(OR(fResp="Todos",P114=fResp))*(OR(fHor="Todos",S114=fHor))</f>
        <v>1</v>
      </c>
      <c r="X114" s="117" t="n">
        <f aca="false">IF(AND(W114=1,U114&gt;0),(7-U114)*100000+50000-IF(ISNUMBER(Q114),Q114,0)+ROW()/1000,0)</f>
        <v>0</v>
      </c>
      <c r="Y114" s="118" t="str">
        <f aca="false">UPPER(A114&amp;" "&amp;TRIM(SUBSTITUTE(C114,CHAR(160)," "))&amp;" "&amp;TRIM(SUBSTITUTE(D114,CHAR(160)," ")))</f>
        <v>BRK-INS-01-016268-PT  IT 5030-00257 CALIBRAÇÃO DO CALORÍMETRO</v>
      </c>
      <c r="Z114" s="118" t="str">
        <f aca="false">IF(qBusca="","",IF(ISNUMBER(SEARCH(TRIM(qBusca),Y114)),ROW(),""))</f>
        <v/>
      </c>
    </row>
    <row r="115" customFormat="false" ht="19.5" hidden="false" customHeight="true" outlineLevel="0" collapsed="false">
      <c r="A115" s="107" t="s">
        <v>681</v>
      </c>
      <c r="B115" s="108" t="s">
        <v>250</v>
      </c>
      <c r="C115" s="109" t="s">
        <v>682</v>
      </c>
      <c r="D115" s="109" t="s">
        <v>683</v>
      </c>
      <c r="E115" s="109" t="s">
        <v>162</v>
      </c>
      <c r="F115" s="110" t="n">
        <v>46731</v>
      </c>
      <c r="G115" s="108" t="s">
        <v>38</v>
      </c>
      <c r="H115" s="109"/>
      <c r="I115" s="109" t="s">
        <v>603</v>
      </c>
      <c r="J115" s="109"/>
      <c r="K115" s="109"/>
      <c r="L115" s="109" t="s">
        <v>684</v>
      </c>
      <c r="M115" s="108" t="n">
        <v>1</v>
      </c>
      <c r="N115" s="111" t="str">
        <f aca="false">IF(TRIM(SUBSTITUTE(E115,CHAR(160)," "))="Avaiação de uso","Avaliação de uso",IF(TRIM(SUBSTITUTE(E115,CHAR(160)," "))="Cancelada","Cancelado",TRIM(SUBSTITUTE(E115,CHAR(160)," "))))</f>
        <v>Aprovado</v>
      </c>
      <c r="O115" s="112" t="n">
        <f aca="false">IF(ISNUMBER(F115),F115,IFERROR(DATE(RIGHT(RIGHT(TRIM(F115),10),4),MID(RIGHT(TRIM(F115),10),4,2),LEFT(RIGHT(TRIM(F115),10),2)),""))</f>
        <v>46731</v>
      </c>
      <c r="P115" s="111" t="str">
        <f aca="false">PROPER(TRIM(SUBSTITUTE(I115,CHAR(160)," ")))</f>
        <v>Ana Claudia Sergio De Oliveira</v>
      </c>
      <c r="Q115" s="113" t="n">
        <f aca="false">IF(O115="","",O115-DataRef)</f>
        <v>430</v>
      </c>
      <c r="R115" s="111" t="str">
        <f aca="false">IF(OR(N115="Cancelado",N115="Fora de Uso"),"Inativo",IF(OR(N115="Revisão",N115="Em Elaboração"),"Em tratamento",IF(OR(N115&lt;&gt;"Aprovado",O115=""),"Validar cadastro",IF(O115&lt;DataRef,"Ação imediata",IF(O115&lt;=EDATE(DataRef,12),"Planejar revisão","Regular")))))</f>
        <v>Regular</v>
      </c>
      <c r="S115" s="111" t="str">
        <f aca="false">IF(R115="Inativo","Inativo",IF(O115="","Sem validade",IF(O115&lt;DataRef,"Vencida",IF(O115&lt;=DataRef+90,"Até 90 dias",IF(O115&lt;=EDATE(DataRef,12),"91 dias a 12 meses","Após 12 meses")))))</f>
        <v>Após 12 meses</v>
      </c>
      <c r="T115" s="114" t="n">
        <f aca="false">IF(O115="","",DATE(YEAR(O115),MONTH(O115),1))</f>
        <v>46722</v>
      </c>
      <c r="U115" s="115" t="n">
        <f aca="false">IF(R115="Ação imediata",1,IF(N115="Não encontrado",2,IF(N115="Revisão",3,IF(N115="Em Elaboração",4,IF(S115="Até 90 dias",5,IF(R115="Validar cadastro",6,0))))))</f>
        <v>0</v>
      </c>
      <c r="V115" s="111" t="str">
        <f aca="false">CHOOSE(U115+1,IF(R115="Planejar revisão","Incluir no plano anual de revisão",IF(R115="Inativo","Sem ação","Monitorar")),"Revisar ou prorrogar validade","Confirmar status no NDocs","Acompanhar revisão","Concluir elaboração","Iniciar revisão (≤ 90 dias)","Validar aplicabilidade")</f>
        <v>Monitorar</v>
      </c>
      <c r="W115" s="116" t="n">
        <f aca="false">(OR(fArea="Todas",ISNUMBER(SEARCH(fArea,G115))))*(OR(fStatus="Todos",N115=fStatus))*(OR(fSit="Todas",R115=fSit))*(OR(fResp="Todos",P115=fResp))*(OR(fHor="Todos",S115=fHor))</f>
        <v>1</v>
      </c>
      <c r="X115" s="117" t="n">
        <f aca="false">IF(AND(W115=1,U115&gt;0),(7-U115)*100000+50000-IF(ISNUMBER(Q115),Q115,0)+ROW()/1000,0)</f>
        <v>0</v>
      </c>
      <c r="Y115" s="118" t="str">
        <f aca="false">UPPER(A115&amp;" "&amp;TRIM(SUBSTITUTE(C115,CHAR(160)," "))&amp;" "&amp;TRIM(SUBSTITUTE(D115,CHAR(160)," ")))</f>
        <v>BRK-INS-01-016280-PT IT 5030-00259 CALIBRAÇÃO DE ANALISADORES DE SÍLICA</v>
      </c>
      <c r="Z115" s="118" t="str">
        <f aca="false">IF(qBusca="","",IF(ISNUMBER(SEARCH(TRIM(qBusca),Y115)),ROW(),""))</f>
        <v/>
      </c>
    </row>
    <row r="116" customFormat="false" ht="19.5" hidden="false" customHeight="true" outlineLevel="0" collapsed="false">
      <c r="A116" s="107" t="s">
        <v>685</v>
      </c>
      <c r="B116" s="108" t="s">
        <v>176</v>
      </c>
      <c r="C116" s="109" t="s">
        <v>686</v>
      </c>
      <c r="D116" s="109" t="s">
        <v>687</v>
      </c>
      <c r="E116" s="109" t="s">
        <v>162</v>
      </c>
      <c r="F116" s="110" t="n">
        <v>48000</v>
      </c>
      <c r="G116" s="108" t="s">
        <v>38</v>
      </c>
      <c r="H116" s="109"/>
      <c r="I116" s="109" t="s">
        <v>603</v>
      </c>
      <c r="J116" s="109"/>
      <c r="K116" s="109"/>
      <c r="L116" s="109" t="s">
        <v>688</v>
      </c>
      <c r="M116" s="108" t="n">
        <v>1</v>
      </c>
      <c r="N116" s="111" t="str">
        <f aca="false">IF(TRIM(SUBSTITUTE(E116,CHAR(160)," "))="Avaiação de uso","Avaliação de uso",IF(TRIM(SUBSTITUTE(E116,CHAR(160)," "))="Cancelada","Cancelado",TRIM(SUBSTITUTE(E116,CHAR(160)," "))))</f>
        <v>Aprovado</v>
      </c>
      <c r="O116" s="112" t="n">
        <f aca="false">IF(ISNUMBER(F116),F116,IFERROR(DATE(RIGHT(RIGHT(TRIM(F116),10),4),MID(RIGHT(TRIM(F116),10),4,2),LEFT(RIGHT(TRIM(F116),10),2)),""))</f>
        <v>48000</v>
      </c>
      <c r="P116" s="111" t="str">
        <f aca="false">PROPER(TRIM(SUBSTITUTE(I116,CHAR(160)," ")))</f>
        <v>Ana Claudia Sergio De Oliveira</v>
      </c>
      <c r="Q116" s="113" t="n">
        <f aca="false">IF(O116="","",O116-DataRef)</f>
        <v>1699</v>
      </c>
      <c r="R116" s="111" t="str">
        <f aca="false">IF(OR(N116="Cancelado",N116="Fora de Uso"),"Inativo",IF(OR(N116="Revisão",N116="Em Elaboração"),"Em tratamento",IF(OR(N116&lt;&gt;"Aprovado",O116=""),"Validar cadastro",IF(O116&lt;DataRef,"Ação imediata",IF(O116&lt;=EDATE(DataRef,12),"Planejar revisão","Regular")))))</f>
        <v>Regular</v>
      </c>
      <c r="S116" s="111" t="str">
        <f aca="false">IF(R116="Inativo","Inativo",IF(O116="","Sem validade",IF(O116&lt;DataRef,"Vencida",IF(O116&lt;=DataRef+90,"Até 90 dias",IF(O116&lt;=EDATE(DataRef,12),"91 dias a 12 meses","Após 12 meses")))))</f>
        <v>Após 12 meses</v>
      </c>
      <c r="T116" s="114" t="n">
        <f aca="false">IF(O116="","",DATE(YEAR(O116),MONTH(O116),1))</f>
        <v>48000</v>
      </c>
      <c r="U116" s="115" t="n">
        <f aca="false">IF(R116="Ação imediata",1,IF(N116="Não encontrado",2,IF(N116="Revisão",3,IF(N116="Em Elaboração",4,IF(S116="Até 90 dias",5,IF(R116="Validar cadastro",6,0))))))</f>
        <v>0</v>
      </c>
      <c r="V116" s="111" t="str">
        <f aca="false">CHOOSE(U116+1,IF(R116="Planejar revisão","Incluir no plano anual de revisão",IF(R116="Inativo","Sem ação","Monitorar")),"Revisar ou prorrogar validade","Confirmar status no NDocs","Acompanhar revisão","Concluir elaboração","Iniciar revisão (≤ 90 dias)","Validar aplicabilidade")</f>
        <v>Monitorar</v>
      </c>
      <c r="W116" s="116" t="n">
        <f aca="false">(OR(fArea="Todas",ISNUMBER(SEARCH(fArea,G116))))*(OR(fStatus="Todos",N116=fStatus))*(OR(fSit="Todas",R116=fSit))*(OR(fResp="Todos",P116=fResp))*(OR(fHor="Todos",S116=fHor))</f>
        <v>1</v>
      </c>
      <c r="X116" s="117" t="n">
        <f aca="false">IF(AND(W116=1,U116&gt;0),(7-U116)*100000+50000-IF(ISNUMBER(Q116),Q116,0)+ROW()/1000,0)</f>
        <v>0</v>
      </c>
      <c r="Y116" s="118" t="str">
        <f aca="false">UPPER(A116&amp;" "&amp;TRIM(SUBSTITUTE(C116,CHAR(160)," "))&amp;" "&amp;TRIM(SUBSTITUTE(D116,CHAR(160)," ")))</f>
        <v>BRK-INS-01-010096-PT IT 5020-00239 ENTRADA, PERMANÊNCIA E SAÍDA DO SHELTER</v>
      </c>
      <c r="Z116" s="118" t="str">
        <f aca="false">IF(qBusca="","",IF(ISNUMBER(SEARCH(TRIM(qBusca),Y116)),ROW(),""))</f>
        <v/>
      </c>
    </row>
    <row r="117" customFormat="false" ht="19.5" hidden="false" customHeight="true" outlineLevel="0" collapsed="false">
      <c r="A117" s="107" t="s">
        <v>689</v>
      </c>
      <c r="B117" s="108" t="s">
        <v>250</v>
      </c>
      <c r="C117" s="109" t="s">
        <v>690</v>
      </c>
      <c r="D117" s="109" t="s">
        <v>691</v>
      </c>
      <c r="E117" s="109" t="s">
        <v>162</v>
      </c>
      <c r="F117" s="110" t="n">
        <v>46907</v>
      </c>
      <c r="G117" s="108" t="s">
        <v>38</v>
      </c>
      <c r="H117" s="109"/>
      <c r="I117" s="109" t="s">
        <v>603</v>
      </c>
      <c r="J117" s="109"/>
      <c r="K117" s="109"/>
      <c r="L117" s="109" t="s">
        <v>692</v>
      </c>
      <c r="M117" s="108" t="n">
        <v>1</v>
      </c>
      <c r="N117" s="111" t="str">
        <f aca="false">IF(TRIM(SUBSTITUTE(E117,CHAR(160)," "))="Avaiação de uso","Avaliação de uso",IF(TRIM(SUBSTITUTE(E117,CHAR(160)," "))="Cancelada","Cancelado",TRIM(SUBSTITUTE(E117,CHAR(160)," "))))</f>
        <v>Aprovado</v>
      </c>
      <c r="O117" s="112" t="n">
        <f aca="false">IF(ISNUMBER(F117),F117,IFERROR(DATE(RIGHT(RIGHT(TRIM(F117),10),4),MID(RIGHT(TRIM(F117),10),4,2),LEFT(RIGHT(TRIM(F117),10),2)),""))</f>
        <v>46907</v>
      </c>
      <c r="P117" s="111" t="str">
        <f aca="false">PROPER(TRIM(SUBSTITUTE(I117,CHAR(160)," ")))</f>
        <v>Ana Claudia Sergio De Oliveira</v>
      </c>
      <c r="Q117" s="113" t="n">
        <f aca="false">IF(O117="","",O117-DataRef)</f>
        <v>606</v>
      </c>
      <c r="R117" s="111" t="str">
        <f aca="false">IF(OR(N117="Cancelado",N117="Fora de Uso"),"Inativo",IF(OR(N117="Revisão",N117="Em Elaboração"),"Em tratamento",IF(OR(N117&lt;&gt;"Aprovado",O117=""),"Validar cadastro",IF(O117&lt;DataRef,"Ação imediata",IF(O117&lt;=EDATE(DataRef,12),"Planejar revisão","Regular")))))</f>
        <v>Regular</v>
      </c>
      <c r="S117" s="111" t="str">
        <f aca="false">IF(R117="Inativo","Inativo",IF(O117="","Sem validade",IF(O117&lt;DataRef,"Vencida",IF(O117&lt;=DataRef+90,"Até 90 dias",IF(O117&lt;=EDATE(DataRef,12),"91 dias a 12 meses","Após 12 meses")))))</f>
        <v>Após 12 meses</v>
      </c>
      <c r="T117" s="114" t="n">
        <f aca="false">IF(O117="","",DATE(YEAR(O117),MONTH(O117),1))</f>
        <v>46905</v>
      </c>
      <c r="U117" s="115" t="n">
        <f aca="false">IF(R117="Ação imediata",1,IF(N117="Não encontrado",2,IF(N117="Revisão",3,IF(N117="Em Elaboração",4,IF(S117="Até 90 dias",5,IF(R117="Validar cadastro",6,0))))))</f>
        <v>0</v>
      </c>
      <c r="V117" s="111" t="str">
        <f aca="false">CHOOSE(U117+1,IF(R117="Planejar revisão","Incluir no plano anual de revisão",IF(R117="Inativo","Sem ação","Monitorar")),"Revisar ou prorrogar validade","Confirmar status no NDocs","Acompanhar revisão","Concluir elaboração","Iniciar revisão (≤ 90 dias)","Validar aplicabilidade")</f>
        <v>Monitorar</v>
      </c>
      <c r="W117" s="116" t="n">
        <f aca="false">(OR(fArea="Todas",ISNUMBER(SEARCH(fArea,G117))))*(OR(fStatus="Todos",N117=fStatus))*(OR(fSit="Todas",R117=fSit))*(OR(fResp="Todos",P117=fResp))*(OR(fHor="Todos",S117=fHor))</f>
        <v>1</v>
      </c>
      <c r="X117" s="117" t="n">
        <f aca="false">IF(AND(W117=1,U117&gt;0),(7-U117)*100000+50000-IF(ISNUMBER(Q117),Q117,0)+ROW()/1000,0)</f>
        <v>0</v>
      </c>
      <c r="Y117" s="118" t="str">
        <f aca="false">UPPER(A117&amp;" "&amp;TRIM(SUBSTITUTE(C117,CHAR(160)," "))&amp;" "&amp;TRIM(SUBSTITUTE(D117,CHAR(160)," ")))</f>
        <v>BRK-INS-01-015311-PT IT 5030-02270 AJUSTECALIBRAÇÃO DE ANALISADORES DE UMIDADE AMETEK</v>
      </c>
      <c r="Z117" s="118" t="str">
        <f aca="false">IF(qBusca="","",IF(ISNUMBER(SEARCH(TRIM(qBusca),Y117)),ROW(),""))</f>
        <v/>
      </c>
    </row>
    <row r="118" customFormat="false" ht="19.5" hidden="false" customHeight="true" outlineLevel="0" collapsed="false">
      <c r="A118" s="107" t="s">
        <v>693</v>
      </c>
      <c r="B118" s="108" t="s">
        <v>600</v>
      </c>
      <c r="C118" s="109" t="s">
        <v>694</v>
      </c>
      <c r="D118" s="109" t="s">
        <v>695</v>
      </c>
      <c r="E118" s="109" t="s">
        <v>162</v>
      </c>
      <c r="F118" s="110" t="n">
        <v>46466</v>
      </c>
      <c r="G118" s="108" t="s">
        <v>38</v>
      </c>
      <c r="H118" s="109"/>
      <c r="I118" s="109" t="s">
        <v>603</v>
      </c>
      <c r="J118" s="109"/>
      <c r="K118" s="109"/>
      <c r="L118" s="109" t="s">
        <v>696</v>
      </c>
      <c r="M118" s="108" t="n">
        <v>1</v>
      </c>
      <c r="N118" s="111" t="str">
        <f aca="false">IF(TRIM(SUBSTITUTE(E118,CHAR(160)," "))="Avaiação de uso","Avaliação de uso",IF(TRIM(SUBSTITUTE(E118,CHAR(160)," "))="Cancelada","Cancelado",TRIM(SUBSTITUTE(E118,CHAR(160)," "))))</f>
        <v>Aprovado</v>
      </c>
      <c r="O118" s="112" t="n">
        <f aca="false">IF(ISNUMBER(F118),F118,IFERROR(DATE(RIGHT(RIGHT(TRIM(F118),10),4),MID(RIGHT(TRIM(F118),10),4,2),LEFT(RIGHT(TRIM(F118),10),2)),""))</f>
        <v>46466</v>
      </c>
      <c r="P118" s="111" t="str">
        <f aca="false">PROPER(TRIM(SUBSTITUTE(I118,CHAR(160)," ")))</f>
        <v>Ana Claudia Sergio De Oliveira</v>
      </c>
      <c r="Q118" s="113" t="n">
        <f aca="false">IF(O118="","",O118-DataRef)</f>
        <v>165</v>
      </c>
      <c r="R118" s="111" t="str">
        <f aca="false">IF(OR(N118="Cancelado",N118="Fora de Uso"),"Inativo",IF(OR(N118="Revisão",N118="Em Elaboração"),"Em tratamento",IF(OR(N118&lt;&gt;"Aprovado",O118=""),"Validar cadastro",IF(O118&lt;DataRef,"Ação imediata",IF(O118&lt;=EDATE(DataRef,12),"Planejar revisão","Regular")))))</f>
        <v>Planejar revisão</v>
      </c>
      <c r="S118" s="111" t="str">
        <f aca="false">IF(R118="Inativo","Inativo",IF(O118="","Sem validade",IF(O118&lt;DataRef,"Vencida",IF(O118&lt;=DataRef+90,"Até 90 dias",IF(O118&lt;=EDATE(DataRef,12),"91 dias a 12 meses","Após 12 meses")))))</f>
        <v>91 dias a 12 meses</v>
      </c>
      <c r="T118" s="114" t="n">
        <f aca="false">IF(O118="","",DATE(YEAR(O118),MONTH(O118),1))</f>
        <v>46447</v>
      </c>
      <c r="U118" s="115" t="n">
        <f aca="false">IF(R118="Ação imediata",1,IF(N118="Não encontrado",2,IF(N118="Revisão",3,IF(N118="Em Elaboração",4,IF(S118="Até 90 dias",5,IF(R118="Validar cadastro",6,0))))))</f>
        <v>0</v>
      </c>
      <c r="V118" s="111" t="str">
        <f aca="false">CHOOSE(U118+1,IF(R118="Planejar revisão","Incluir no plano anual de revisão",IF(R118="Inativo","Sem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118" s="116" t="n">
        <f aca="false">(OR(fArea="Todas",ISNUMBER(SEARCH(fArea,G118))))*(OR(fStatus="Todos",N118=fStatus))*(OR(fSit="Todas",R118=fSit))*(OR(fResp="Todos",P118=fResp))*(OR(fHor="Todos",S118=fHor))</f>
        <v>1</v>
      </c>
      <c r="X118" s="117" t="n">
        <f aca="false">IF(AND(W118=1,U118&gt;0),(7-U118)*100000+50000-IF(ISNUMBER(Q118),Q118,0)+ROW()/1000,0)</f>
        <v>0</v>
      </c>
      <c r="Y118" s="118" t="str">
        <f aca="false">UPPER(A118&amp;" "&amp;TRIM(SUBSTITUTE(C118,CHAR(160)," "))&amp;" "&amp;TRIM(SUBSTITUTE(D118,CHAR(160)," ")))</f>
        <v>BRK-INS-01-015375-PT IT 5020-02576  SISTEMATIZAÇÃO DA ATUAÇÃO EM ANALISADORES DO LCQ DCX</v>
      </c>
      <c r="Z118" s="118" t="str">
        <f aca="false">IF(qBusca="","",IF(ISNUMBER(SEARCH(TRIM(qBusca),Y118)),ROW(),""))</f>
        <v/>
      </c>
    </row>
    <row r="119" customFormat="false" ht="19.5" hidden="false" customHeight="true" outlineLevel="0" collapsed="false">
      <c r="A119" s="107" t="s">
        <v>697</v>
      </c>
      <c r="B119" s="108" t="s">
        <v>159</v>
      </c>
      <c r="C119" s="109" t="s">
        <v>698</v>
      </c>
      <c r="D119" s="109" t="s">
        <v>699</v>
      </c>
      <c r="E119" s="109" t="s">
        <v>162</v>
      </c>
      <c r="F119" s="110" t="n">
        <v>47818</v>
      </c>
      <c r="G119" s="108" t="s">
        <v>108</v>
      </c>
      <c r="H119" s="109"/>
      <c r="I119" s="109" t="s">
        <v>700</v>
      </c>
      <c r="J119" s="109"/>
      <c r="K119" s="109"/>
      <c r="L119" s="109" t="s">
        <v>701</v>
      </c>
      <c r="M119" s="108" t="n">
        <v>1</v>
      </c>
      <c r="N119" s="111" t="str">
        <f aca="false">IF(TRIM(SUBSTITUTE(E119,CHAR(160)," "))="Avaiação de uso","Avaliação de uso",IF(TRIM(SUBSTITUTE(E119,CHAR(160)," "))="Cancelada","Cancelado",TRIM(SUBSTITUTE(E119,CHAR(160)," "))))</f>
        <v>Aprovado</v>
      </c>
      <c r="O119" s="112" t="n">
        <f aca="false">IF(ISNUMBER(F119),F119,IFERROR(DATE(RIGHT(RIGHT(TRIM(F119),10),4),MID(RIGHT(TRIM(F119),10),4,2),LEFT(RIGHT(TRIM(F119),10),2)),""))</f>
        <v>47818</v>
      </c>
      <c r="P119" s="111" t="str">
        <f aca="false">PROPER(TRIM(SUBSTITUTE(I119,CHAR(160)," ")))</f>
        <v>Isabel Teixeira Malvar Pinto</v>
      </c>
      <c r="Q119" s="113" t="n">
        <f aca="false">IF(O119="","",O119-DataRef)</f>
        <v>1517</v>
      </c>
      <c r="R119" s="111" t="str">
        <f aca="false">IF(OR(N119="Cancelado",N119="Fora de Uso"),"Inativo",IF(OR(N119="Revisão",N119="Em Elaboração"),"Em tratamento",IF(OR(N119&lt;&gt;"Aprovado",O119=""),"Validar cadastro",IF(O119&lt;DataRef,"Ação imediata",IF(O119&lt;=EDATE(DataRef,12),"Planejar revisão","Regular")))))</f>
        <v>Regular</v>
      </c>
      <c r="S119" s="111" t="str">
        <f aca="false">IF(R119="Inativo","Inativo",IF(O119="","Sem validade",IF(O119&lt;DataRef,"Vencida",IF(O119&lt;=DataRef+90,"Até 90 dias",IF(O119&lt;=EDATE(DataRef,12),"91 dias a 12 meses","Após 12 meses")))))</f>
        <v>Após 12 meses</v>
      </c>
      <c r="T119" s="114" t="n">
        <f aca="false">IF(O119="","",DATE(YEAR(O119),MONTH(O119),1))</f>
        <v>47818</v>
      </c>
      <c r="U119" s="115" t="n">
        <f aca="false">IF(R119="Ação imediata",1,IF(N119="Não encontrado",2,IF(N119="Revisão",3,IF(N119="Em Elaboração",4,IF(S119="Até 90 dias",5,IF(R119="Validar cadastro",6,0))))))</f>
        <v>0</v>
      </c>
      <c r="V119" s="111" t="str">
        <f aca="false">CHOOSE(U119+1,IF(R119="Planejar revisão","Incluir no plano anual de revisão",IF(R119="Inativo","Sem ação","Monitorar")),"Revisar ou prorrogar validade","Confirmar status no NDocs","Acompanhar revisão","Concluir elaboração","Iniciar revisão (≤ 90 dias)","Validar aplicabilidade")</f>
        <v>Monitorar</v>
      </c>
      <c r="W119" s="116" t="n">
        <f aca="false">(OR(fArea="Todas",ISNUMBER(SEARCH(fArea,G119))))*(OR(fStatus="Todos",N119=fStatus))*(OR(fSit="Todas",R119=fSit))*(OR(fResp="Todos",P119=fResp))*(OR(fHor="Todos",S119=fHor))</f>
        <v>1</v>
      </c>
      <c r="X119" s="117" t="n">
        <f aca="false">IF(AND(W119=1,U119&gt;0),(7-U119)*100000+50000-IF(ISNUMBER(Q119),Q119,0)+ROW()/1000,0)</f>
        <v>0</v>
      </c>
      <c r="Y119" s="118" t="str">
        <f aca="false">UPPER(A119&amp;" "&amp;TRIM(SUBSTITUTE(C119,CHAR(160)," "))&amp;" "&amp;TRIM(SUBSTITUTE(D119,CHAR(160)," ")))</f>
        <v>BRK-INS-01-010045-PT IT 5020-00223 COLETA DE AMOSTRAS PARA ENSAIOS NO LCQ</v>
      </c>
      <c r="Z119" s="118" t="str">
        <f aca="false">IF(qBusca="","",IF(ISNUMBER(SEARCH(TRIM(qBusca),Y119)),ROW(),""))</f>
        <v/>
      </c>
    </row>
    <row r="120" customFormat="false" ht="19.5" hidden="false" customHeight="true" outlineLevel="0" collapsed="false">
      <c r="A120" s="107" t="s">
        <v>702</v>
      </c>
      <c r="B120" s="108" t="s">
        <v>176</v>
      </c>
      <c r="C120" s="109" t="s">
        <v>703</v>
      </c>
      <c r="D120" s="109" t="s">
        <v>704</v>
      </c>
      <c r="E120" s="109" t="s">
        <v>162</v>
      </c>
      <c r="F120" s="110" t="n">
        <v>47987</v>
      </c>
      <c r="G120" s="108" t="s">
        <v>108</v>
      </c>
      <c r="H120" s="109"/>
      <c r="I120" s="109" t="s">
        <v>169</v>
      </c>
      <c r="J120" s="109"/>
      <c r="K120" s="109"/>
      <c r="L120" s="109" t="s">
        <v>705</v>
      </c>
      <c r="M120" s="108" t="n">
        <v>1</v>
      </c>
      <c r="N120" s="111" t="str">
        <f aca="false">IF(TRIM(SUBSTITUTE(E120,CHAR(160)," "))="Avaiação de uso","Avaliação de uso",IF(TRIM(SUBSTITUTE(E120,CHAR(160)," "))="Cancelada","Cancelado",TRIM(SUBSTITUTE(E120,CHAR(160)," "))))</f>
        <v>Aprovado</v>
      </c>
      <c r="O120" s="112" t="n">
        <f aca="false">IF(ISNUMBER(F120),F120,IFERROR(DATE(RIGHT(RIGHT(TRIM(F120),10),4),MID(RIGHT(TRIM(F120),10),4,2),LEFT(RIGHT(TRIM(F120),10),2)),""))</f>
        <v>47987</v>
      </c>
      <c r="P120" s="111" t="str">
        <f aca="false">PROPER(TRIM(SUBSTITUTE(I120,CHAR(160)," ")))</f>
        <v>Larissa Vicente Cardoso Guedes</v>
      </c>
      <c r="Q120" s="113" t="n">
        <f aca="false">IF(O120="","",O120-DataRef)</f>
        <v>1686</v>
      </c>
      <c r="R120" s="111" t="str">
        <f aca="false">IF(OR(N120="Cancelado",N120="Fora de Uso"),"Inativo",IF(OR(N120="Revisão",N120="Em Elaboração"),"Em tratamento",IF(OR(N120&lt;&gt;"Aprovado",O120=""),"Validar cadastro",IF(O120&lt;DataRef,"Ação imediata",IF(O120&lt;=EDATE(DataRef,12),"Planejar revisão","Regular")))))</f>
        <v>Regular</v>
      </c>
      <c r="S120" s="111" t="str">
        <f aca="false">IF(R120="Inativo","Inativo",IF(O120="","Sem validade",IF(O120&lt;DataRef,"Vencida",IF(O120&lt;=DataRef+90,"Até 90 dias",IF(O120&lt;=EDATE(DataRef,12),"91 dias a 12 meses","Após 12 meses")))))</f>
        <v>Após 12 meses</v>
      </c>
      <c r="T120" s="114" t="n">
        <f aca="false">IF(O120="","",DATE(YEAR(O120),MONTH(O120),1))</f>
        <v>47969</v>
      </c>
      <c r="U120" s="115" t="n">
        <f aca="false">IF(R120="Ação imediata",1,IF(N120="Não encontrado",2,IF(N120="Revisão",3,IF(N120="Em Elaboração",4,IF(S120="Até 90 dias",5,IF(R120="Validar cadastro",6,0))))))</f>
        <v>0</v>
      </c>
      <c r="V120" s="111" t="str">
        <f aca="false">CHOOSE(U120+1,IF(R120="Planejar revisão","Incluir no plano anual de revisão",IF(R120="Inativo","Sem ação","Monitorar")),"Revisar ou prorrogar validade","Confirmar status no NDocs","Acompanhar revisão","Concluir elaboração","Iniciar revisão (≤ 90 dias)","Validar aplicabilidade")</f>
        <v>Monitorar</v>
      </c>
      <c r="W120" s="116" t="n">
        <f aca="false">(OR(fArea="Todas",ISNUMBER(SEARCH(fArea,G120))))*(OR(fStatus="Todos",N120=fStatus))*(OR(fSit="Todas",R120=fSit))*(OR(fResp="Todos",P120=fResp))*(OR(fHor="Todos",S120=fHor))</f>
        <v>1</v>
      </c>
      <c r="X120" s="117" t="n">
        <f aca="false">IF(AND(W120=1,U120&gt;0),(7-U120)*100000+50000-IF(ISNUMBER(Q120),Q120,0)+ROW()/1000,0)</f>
        <v>0</v>
      </c>
      <c r="Y120" s="118" t="str">
        <f aca="false">UPPER(A120&amp;" "&amp;TRIM(SUBSTITUTE(C120,CHAR(160)," "))&amp;" "&amp;TRIM(SUBSTITUTE(D120,CHAR(160)," ")))</f>
        <v>BRK-INS-01-010092-PT IT 5020-00236 IDENTIFICAÇÃO DE EQUIPAMENTOS - LCQ - DCX (TAG)</v>
      </c>
      <c r="Z120" s="118" t="str">
        <f aca="false">IF(qBusca="","",IF(ISNUMBER(SEARCH(TRIM(qBusca),Y120)),ROW(),""))</f>
        <v/>
      </c>
    </row>
    <row r="121" customFormat="false" ht="19.5" hidden="false" customHeight="true" outlineLevel="0" collapsed="false">
      <c r="A121" s="107" t="s">
        <v>706</v>
      </c>
      <c r="B121" s="108" t="s">
        <v>191</v>
      </c>
      <c r="C121" s="109" t="s">
        <v>707</v>
      </c>
      <c r="D121" s="109" t="s">
        <v>708</v>
      </c>
      <c r="E121" s="109" t="s">
        <v>460</v>
      </c>
      <c r="F121" s="110" t="n">
        <v>47987</v>
      </c>
      <c r="G121" s="108" t="s">
        <v>108</v>
      </c>
      <c r="H121" s="109"/>
      <c r="I121" s="109" t="s">
        <v>169</v>
      </c>
      <c r="J121" s="109" t="s">
        <v>709</v>
      </c>
      <c r="K121" s="109"/>
      <c r="L121" s="109" t="s">
        <v>710</v>
      </c>
      <c r="M121" s="108" t="n">
        <v>1</v>
      </c>
      <c r="N121" s="111" t="str">
        <f aca="false">IF(TRIM(SUBSTITUTE(E121,CHAR(160)," "))="Avaiação de uso","Avaliação de uso",IF(TRIM(SUBSTITUTE(E121,CHAR(160)," "))="Cancelada","Cancelado",TRIM(SUBSTITUTE(E121,CHAR(160)," "))))</f>
        <v>Aprovado</v>
      </c>
      <c r="O121" s="112" t="n">
        <f aca="false">IF(ISNUMBER(F121),F121,IFERROR(DATE(RIGHT(RIGHT(TRIM(F121),10),4),MID(RIGHT(TRIM(F121),10),4,2),LEFT(RIGHT(TRIM(F121),10),2)),""))</f>
        <v>47987</v>
      </c>
      <c r="P121" s="111" t="str">
        <f aca="false">PROPER(TRIM(SUBSTITUTE(I121,CHAR(160)," ")))</f>
        <v>Larissa Vicente Cardoso Guedes</v>
      </c>
      <c r="Q121" s="113" t="n">
        <f aca="false">IF(O121="","",O121-DataRef)</f>
        <v>1686</v>
      </c>
      <c r="R121" s="111" t="str">
        <f aca="false">IF(OR(N121="Cancelado",N121="Fora de Uso"),"Inativo",IF(OR(N121="Revisão",N121="Em Elaboração"),"Em tratamento",IF(OR(N121&lt;&gt;"Aprovado",O121=""),"Validar cadastro",IF(O121&lt;DataRef,"Ação imediata",IF(O121&lt;=EDATE(DataRef,12),"Planejar revisão","Regular")))))</f>
        <v>Regular</v>
      </c>
      <c r="S121" s="111" t="str">
        <f aca="false">IF(R121="Inativo","Inativo",IF(O121="","Sem validade",IF(O121&lt;DataRef,"Vencida",IF(O121&lt;=DataRef+90,"Até 90 dias",IF(O121&lt;=EDATE(DataRef,12),"91 dias a 12 meses","Após 12 meses")))))</f>
        <v>Após 12 meses</v>
      </c>
      <c r="T121" s="114" t="n">
        <f aca="false">IF(O121="","",DATE(YEAR(O121),MONTH(O121),1))</f>
        <v>47969</v>
      </c>
      <c r="U121" s="115" t="n">
        <f aca="false">IF(R121="Ação imediata",1,IF(N121="Não encontrado",2,IF(N121="Revisão",3,IF(N121="Em Elaboração",4,IF(S121="Até 90 dias",5,IF(R121="Validar cadastro",6,0))))))</f>
        <v>0</v>
      </c>
      <c r="V121" s="111" t="str">
        <f aca="false">CHOOSE(U121+1,IF(R121="Planejar revisão","Incluir no plano anual de revisão",IF(R121="Inativo","Sem ação","Monitorar")),"Revisar ou prorrogar validade","Confirmar status no NDocs","Acompanhar revisão","Concluir elaboração","Iniciar revisão (≤ 90 dias)","Validar aplicabilidade")</f>
        <v>Monitorar</v>
      </c>
      <c r="W121" s="116" t="n">
        <f aca="false">(OR(fArea="Todas",ISNUMBER(SEARCH(fArea,G121))))*(OR(fStatus="Todos",N121=fStatus))*(OR(fSit="Todas",R121=fSit))*(OR(fResp="Todos",P121=fResp))*(OR(fHor="Todos",S121=fHor))</f>
        <v>1</v>
      </c>
      <c r="X121" s="117" t="n">
        <f aca="false">IF(AND(W121=1,U121&gt;0),(7-U121)*100000+50000-IF(ISNUMBER(Q121),Q121,0)+ROW()/1000,0)</f>
        <v>0</v>
      </c>
      <c r="Y121" s="118" t="str">
        <f aca="false">UPPER(A121&amp;" "&amp;TRIM(SUBSTITUTE(C121,CHAR(160)," "))&amp;" "&amp;TRIM(SUBSTITUTE(D121,CHAR(160)," ")))</f>
        <v>BRK-INS-01-010100-PT IT 5020-00244 INSPEÇÃO DE CAPELAS, COIFAS E OUTROS SISTEMAS DE EXAUSTÃO - LCQ DCX</v>
      </c>
      <c r="Z121" s="118" t="str">
        <f aca="false">IF(qBusca="","",IF(ISNUMBER(SEARCH(TRIM(qBusca),Y121)),ROW(),""))</f>
        <v/>
      </c>
    </row>
    <row r="122" customFormat="false" ht="19.5" hidden="false" customHeight="true" outlineLevel="0" collapsed="false">
      <c r="A122" s="107" t="s">
        <v>711</v>
      </c>
      <c r="B122" s="108" t="s">
        <v>176</v>
      </c>
      <c r="C122" s="109" t="s">
        <v>712</v>
      </c>
      <c r="D122" s="109" t="s">
        <v>713</v>
      </c>
      <c r="E122" s="109" t="s">
        <v>162</v>
      </c>
      <c r="F122" s="110" t="n">
        <v>46536</v>
      </c>
      <c r="G122" s="108" t="s">
        <v>108</v>
      </c>
      <c r="H122" s="109"/>
      <c r="I122" s="109" t="s">
        <v>163</v>
      </c>
      <c r="J122" s="109"/>
      <c r="K122" s="109"/>
      <c r="L122" s="109" t="s">
        <v>714</v>
      </c>
      <c r="M122" s="108" t="n">
        <v>1</v>
      </c>
      <c r="N122" s="111" t="str">
        <f aca="false">IF(TRIM(SUBSTITUTE(E122,CHAR(160)," "))="Avaiação de uso","Avaliação de uso",IF(TRIM(SUBSTITUTE(E122,CHAR(160)," "))="Cancelada","Cancelado",TRIM(SUBSTITUTE(E122,CHAR(160)," "))))</f>
        <v>Aprovado</v>
      </c>
      <c r="O122" s="112" t="n">
        <f aca="false">IF(ISNUMBER(F122),F122,IFERROR(DATE(RIGHT(RIGHT(TRIM(F122),10),4),MID(RIGHT(TRIM(F122),10),4,2),LEFT(RIGHT(TRIM(F122),10),2)),""))</f>
        <v>46536</v>
      </c>
      <c r="P122" s="111" t="str">
        <f aca="false">PROPER(TRIM(SUBSTITUTE(I122,CHAR(160)," ")))</f>
        <v>Ana Carla Da Cruz Araujo</v>
      </c>
      <c r="Q122" s="113" t="n">
        <f aca="false">IF(O122="","",O122-DataRef)</f>
        <v>235</v>
      </c>
      <c r="R122" s="111" t="str">
        <f aca="false">IF(OR(N122="Cancelado",N122="Fora de Uso"),"Inativo",IF(OR(N122="Revisão",N122="Em Elaboração"),"Em tratamento",IF(OR(N122&lt;&gt;"Aprovado",O122=""),"Validar cadastro",IF(O122&lt;DataRef,"Ação imediata",IF(O122&lt;=EDATE(DataRef,12),"Planejar revisão","Regular")))))</f>
        <v>Planejar revisão</v>
      </c>
      <c r="S122" s="111" t="str">
        <f aca="false">IF(R122="Inativo","Inativo",IF(O122="","Sem validade",IF(O122&lt;DataRef,"Vencida",IF(O122&lt;=DataRef+90,"Até 90 dias",IF(O122&lt;=EDATE(DataRef,12),"91 dias a 12 meses","Após 12 meses")))))</f>
        <v>91 dias a 12 meses</v>
      </c>
      <c r="T122" s="114" t="n">
        <f aca="false">IF(O122="","",DATE(YEAR(O122),MONTH(O122),1))</f>
        <v>46508</v>
      </c>
      <c r="U122" s="115" t="n">
        <f aca="false">IF(R122="Ação imediata",1,IF(N122="Não encontrado",2,IF(N122="Revisão",3,IF(N122="Em Elaboração",4,IF(S122="Até 90 dias",5,IF(R122="Validar cadastro",6,0))))))</f>
        <v>0</v>
      </c>
      <c r="V122" s="111" t="str">
        <f aca="false">CHOOSE(U122+1,IF(R122="Planejar revisão","Incluir no plano anual de revisão",IF(R122="Inativo","Sem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122" s="116" t="n">
        <f aca="false">(OR(fArea="Todas",ISNUMBER(SEARCH(fArea,G122))))*(OR(fStatus="Todos",N122=fStatus))*(OR(fSit="Todas",R122=fSit))*(OR(fResp="Todos",P122=fResp))*(OR(fHor="Todos",S122=fHor))</f>
        <v>1</v>
      </c>
      <c r="X122" s="117" t="n">
        <f aca="false">IF(AND(W122=1,U122&gt;0),(7-U122)*100000+50000-IF(ISNUMBER(Q122),Q122,0)+ROW()/1000,0)</f>
        <v>0</v>
      </c>
      <c r="Y122" s="118" t="str">
        <f aca="false">UPPER(A122&amp;" "&amp;TRIM(SUBSTITUTE(C122,CHAR(160)," "))&amp;" "&amp;TRIM(SUBSTITUTE(D122,CHAR(160)," ")))</f>
        <v>BRK-INS-01-010107-PT IT 5020-00245 CONTROLE METROLÓGICO LCQ DCX - Q4, PE9 E PP5</v>
      </c>
      <c r="Z122" s="118" t="str">
        <f aca="false">IF(qBusca="","",IF(ISNUMBER(SEARCH(TRIM(qBusca),Y122)),ROW(),""))</f>
        <v/>
      </c>
    </row>
    <row r="123" customFormat="false" ht="19.5" hidden="false" customHeight="true" outlineLevel="0" collapsed="false">
      <c r="A123" s="107" t="s">
        <v>715</v>
      </c>
      <c r="B123" s="108" t="s">
        <v>235</v>
      </c>
      <c r="C123" s="109" t="s">
        <v>716</v>
      </c>
      <c r="D123" s="109" t="s">
        <v>717</v>
      </c>
      <c r="E123" s="109" t="s">
        <v>162</v>
      </c>
      <c r="F123" s="110" t="n">
        <v>46278</v>
      </c>
      <c r="G123" s="108" t="s">
        <v>108</v>
      </c>
      <c r="H123" s="109"/>
      <c r="I123" s="109" t="s">
        <v>163</v>
      </c>
      <c r="J123" s="109"/>
      <c r="K123" s="109"/>
      <c r="L123" s="109" t="s">
        <v>718</v>
      </c>
      <c r="M123" s="108" t="n">
        <v>1</v>
      </c>
      <c r="N123" s="111" t="str">
        <f aca="false">IF(TRIM(SUBSTITUTE(E123,CHAR(160)," "))="Avaiação de uso","Avaliação de uso",IF(TRIM(SUBSTITUTE(E123,CHAR(160)," "))="Cancelada","Cancelado",TRIM(SUBSTITUTE(E123,CHAR(160)," "))))</f>
        <v>Aprovado</v>
      </c>
      <c r="O123" s="112" t="n">
        <f aca="false">IF(ISNUMBER(F123),F123,IFERROR(DATE(RIGHT(RIGHT(TRIM(F123),10),4),MID(RIGHT(TRIM(F123),10),4,2),LEFT(RIGHT(TRIM(F123),10),2)),""))</f>
        <v>46278</v>
      </c>
      <c r="P123" s="111" t="str">
        <f aca="false">PROPER(TRIM(SUBSTITUTE(I123,CHAR(160)," ")))</f>
        <v>Ana Carla Da Cruz Araujo</v>
      </c>
      <c r="Q123" s="113" t="n">
        <f aca="false">IF(O123="","",O123-DataRef)</f>
        <v>-23</v>
      </c>
      <c r="R123" s="111" t="str">
        <f aca="false">IF(OR(N123="Cancelado",N123="Fora de Uso"),"Inativo",IF(OR(N123="Revisão",N123="Em Elaboração"),"Em tratamento",IF(OR(N123&lt;&gt;"Aprovado",O123=""),"Validar cadastro",IF(O123&lt;DataRef,"Ação imediata",IF(O123&lt;=EDATE(DataRef,12),"Planejar revisão","Regular")))))</f>
        <v>Ação imediata</v>
      </c>
      <c r="S123" s="111" t="str">
        <f aca="false">IF(R123="Inativo","Inativo",IF(O123="","Sem validade",IF(O123&lt;DataRef,"Vencida",IF(O123&lt;=DataRef+90,"Até 90 dias",IF(O123&lt;=EDATE(DataRef,12),"91 dias a 12 meses","Após 12 meses")))))</f>
        <v>Vencida</v>
      </c>
      <c r="T123" s="114" t="n">
        <f aca="false">IF(O123="","",DATE(YEAR(O123),MONTH(O123),1))</f>
        <v>46266</v>
      </c>
      <c r="U123" s="115" t="n">
        <f aca="false">IF(R123="Ação imediata",1,IF(N123="Não encontrado",2,IF(N123="Revisão",3,IF(N123="Em Elaboração",4,IF(S123="Até 90 dias",5,IF(R123="Validar cadastro",6,0))))))</f>
        <v>1</v>
      </c>
      <c r="V123" s="111" t="str">
        <f aca="false">CHOOSE(U123+1,IF(R123="Planejar revisão","Incluir no plano anual de revisão",IF(R123="Inativo","Sem ação","Monitorar")),"Revisar ou prorrogar validade","Confirmar status no NDocs","Acompanhar revisão","Concluir elaboração","Iniciar revisão (≤ 90 dias)","Validar aplicabilidade")</f>
        <v>Revisar ou prorrogar validade</v>
      </c>
      <c r="W123" s="116" t="n">
        <f aca="false">(OR(fArea="Todas",ISNUMBER(SEARCH(fArea,G123))))*(OR(fStatus="Todos",N123=fStatus))*(OR(fSit="Todas",R123=fSit))*(OR(fResp="Todos",P123=fResp))*(OR(fHor="Todos",S123=fHor))</f>
        <v>1</v>
      </c>
      <c r="X123" s="117" t="n">
        <f aca="false">IF(AND(W123=1,U123&gt;0),(7-U123)*100000+50000-IF(ISNUMBER(Q123),Q123,0)+ROW()/1000,0)</f>
        <v>650023.123</v>
      </c>
      <c r="Y123" s="118" t="str">
        <f aca="false">UPPER(A123&amp;" "&amp;TRIM(SUBSTITUTE(C123,CHAR(160)," "))&amp;" "&amp;TRIM(SUBSTITUTE(D123,CHAR(160)," ")))</f>
        <v>BRK-INS-01-010133-PT IT 5020-00254 MANUAL DE SEGURANÇA DO LABORATÓRIO</v>
      </c>
      <c r="Z123" s="118" t="str">
        <f aca="false">IF(qBusca="","",IF(ISNUMBER(SEARCH(TRIM(qBusca),Y123)),ROW(),""))</f>
        <v/>
      </c>
    </row>
    <row r="124" customFormat="false" ht="19.5" hidden="false" customHeight="true" outlineLevel="0" collapsed="false">
      <c r="A124" s="107" t="s">
        <v>719</v>
      </c>
      <c r="B124" s="108" t="s">
        <v>720</v>
      </c>
      <c r="C124" s="109" t="s">
        <v>721</v>
      </c>
      <c r="D124" s="109" t="s">
        <v>722</v>
      </c>
      <c r="E124" s="109" t="s">
        <v>162</v>
      </c>
      <c r="F124" s="110" t="n">
        <v>48014</v>
      </c>
      <c r="G124" s="108" t="s">
        <v>108</v>
      </c>
      <c r="H124" s="109"/>
      <c r="I124" s="109" t="s">
        <v>169</v>
      </c>
      <c r="J124" s="109"/>
      <c r="K124" s="109"/>
      <c r="L124" s="109" t="s">
        <v>723</v>
      </c>
      <c r="M124" s="108" t="n">
        <v>1</v>
      </c>
      <c r="N124" s="111" t="str">
        <f aca="false">IF(TRIM(SUBSTITUTE(E124,CHAR(160)," "))="Avaiação de uso","Avaliação de uso",IF(TRIM(SUBSTITUTE(E124,CHAR(160)," "))="Cancelada","Cancelado",TRIM(SUBSTITUTE(E124,CHAR(160)," "))))</f>
        <v>Aprovado</v>
      </c>
      <c r="O124" s="112" t="n">
        <f aca="false">IF(ISNUMBER(F124),F124,IFERROR(DATE(RIGHT(RIGHT(TRIM(F124),10),4),MID(RIGHT(TRIM(F124),10),4,2),LEFT(RIGHT(TRIM(F124),10),2)),""))</f>
        <v>48014</v>
      </c>
      <c r="P124" s="111" t="str">
        <f aca="false">PROPER(TRIM(SUBSTITUTE(I124,CHAR(160)," ")))</f>
        <v>Larissa Vicente Cardoso Guedes</v>
      </c>
      <c r="Q124" s="113" t="n">
        <f aca="false">IF(O124="","",O124-DataRef)</f>
        <v>1713</v>
      </c>
      <c r="R124" s="111" t="str">
        <f aca="false">IF(OR(N124="Cancelado",N124="Fora de Uso"),"Inativo",IF(OR(N124="Revisão",N124="Em Elaboração"),"Em tratamento",IF(OR(N124&lt;&gt;"Aprovado",O124=""),"Validar cadastro",IF(O124&lt;DataRef,"Ação imediata",IF(O124&lt;=EDATE(DataRef,12),"Planejar revisão","Regular")))))</f>
        <v>Regular</v>
      </c>
      <c r="S124" s="111" t="str">
        <f aca="false">IF(R124="Inativo","Inativo",IF(O124="","Sem validade",IF(O124&lt;DataRef,"Vencida",IF(O124&lt;=DataRef+90,"Até 90 dias",IF(O124&lt;=EDATE(DataRef,12),"91 dias a 12 meses","Após 12 meses")))))</f>
        <v>Após 12 meses</v>
      </c>
      <c r="T124" s="114" t="n">
        <f aca="false">IF(O124="","",DATE(YEAR(O124),MONTH(O124),1))</f>
        <v>48000</v>
      </c>
      <c r="U124" s="115" t="n">
        <f aca="false">IF(R124="Ação imediata",1,IF(N124="Não encontrado",2,IF(N124="Revisão",3,IF(N124="Em Elaboração",4,IF(S124="Até 90 dias",5,IF(R124="Validar cadastro",6,0))))))</f>
        <v>0</v>
      </c>
      <c r="V124" s="111" t="str">
        <f aca="false">CHOOSE(U124+1,IF(R124="Planejar revisão","Incluir no plano anual de revisão",IF(R124="Inativo","Sem ação","Monitorar")),"Revisar ou prorrogar validade","Confirmar status no NDocs","Acompanhar revisão","Concluir elaboração","Iniciar revisão (≤ 90 dias)","Validar aplicabilidade")</f>
        <v>Monitorar</v>
      </c>
      <c r="W124" s="116" t="n">
        <f aca="false">(OR(fArea="Todas",ISNUMBER(SEARCH(fArea,G124))))*(OR(fStatus="Todos",N124=fStatus))*(OR(fSit="Todas",R124=fSit))*(OR(fResp="Todos",P124=fResp))*(OR(fHor="Todos",S124=fHor))</f>
        <v>1</v>
      </c>
      <c r="X124" s="117" t="n">
        <f aca="false">IF(AND(W124=1,U124&gt;0),(7-U124)*100000+50000-IF(ISNUMBER(Q124),Q124,0)+ROW()/1000,0)</f>
        <v>0</v>
      </c>
      <c r="Y124" s="118" t="str">
        <f aca="false">UPPER(A124&amp;" "&amp;TRIM(SUBSTITUTE(C124,CHAR(160)," "))&amp;" "&amp;TRIM(SUBSTITUTE(D124,CHAR(160)," ")))</f>
        <v>BRK-INS-01-010140-PT IT 5020-00255 GESTÃO DE CONTROLE DA QUALIDADE - LCQ - DCX</v>
      </c>
      <c r="Z124" s="118" t="str">
        <f aca="false">IF(qBusca="","",IF(ISNUMBER(SEARCH(TRIM(qBusca),Y124)),ROW(),""))</f>
        <v/>
      </c>
    </row>
    <row r="125" customFormat="false" ht="19.5" hidden="false" customHeight="true" outlineLevel="0" collapsed="false">
      <c r="A125" s="107" t="s">
        <v>724</v>
      </c>
      <c r="B125" s="108" t="s">
        <v>600</v>
      </c>
      <c r="C125" s="109" t="s">
        <v>725</v>
      </c>
      <c r="D125" s="109" t="s">
        <v>726</v>
      </c>
      <c r="E125" s="109" t="s">
        <v>162</v>
      </c>
      <c r="F125" s="110" t="n">
        <v>46466</v>
      </c>
      <c r="G125" s="108" t="s">
        <v>108</v>
      </c>
      <c r="H125" s="109"/>
      <c r="I125" s="109" t="s">
        <v>163</v>
      </c>
      <c r="J125" s="109"/>
      <c r="K125" s="109"/>
      <c r="L125" s="109" t="s">
        <v>727</v>
      </c>
      <c r="M125" s="108" t="n">
        <v>1</v>
      </c>
      <c r="N125" s="111" t="str">
        <f aca="false">IF(TRIM(SUBSTITUTE(E125,CHAR(160)," "))="Avaiação de uso","Avaliação de uso",IF(TRIM(SUBSTITUTE(E125,CHAR(160)," "))="Cancelada","Cancelado",TRIM(SUBSTITUTE(E125,CHAR(160)," "))))</f>
        <v>Aprovado</v>
      </c>
      <c r="O125" s="112" t="n">
        <f aca="false">IF(ISNUMBER(F125),F125,IFERROR(DATE(RIGHT(RIGHT(TRIM(F125),10),4),MID(RIGHT(TRIM(F125),10),4,2),LEFT(RIGHT(TRIM(F125),10),2)),""))</f>
        <v>46466</v>
      </c>
      <c r="P125" s="111" t="str">
        <f aca="false">PROPER(TRIM(SUBSTITUTE(I125,CHAR(160)," ")))</f>
        <v>Ana Carla Da Cruz Araujo</v>
      </c>
      <c r="Q125" s="113" t="n">
        <f aca="false">IF(O125="","",O125-DataRef)</f>
        <v>165</v>
      </c>
      <c r="R125" s="111" t="str">
        <f aca="false">IF(OR(N125="Cancelado",N125="Fora de Uso"),"Inativo",IF(OR(N125="Revisão",N125="Em Elaboração"),"Em tratamento",IF(OR(N125&lt;&gt;"Aprovado",O125=""),"Validar cadastro",IF(O125&lt;DataRef,"Ação imediata",IF(O125&lt;=EDATE(DataRef,12),"Planejar revisão","Regular")))))</f>
        <v>Planejar revisão</v>
      </c>
      <c r="S125" s="111" t="str">
        <f aca="false">IF(R125="Inativo","Inativo",IF(O125="","Sem validade",IF(O125&lt;DataRef,"Vencida",IF(O125&lt;=DataRef+90,"Até 90 dias",IF(O125&lt;=EDATE(DataRef,12),"91 dias a 12 meses","Após 12 meses")))))</f>
        <v>91 dias a 12 meses</v>
      </c>
      <c r="T125" s="114" t="n">
        <f aca="false">IF(O125="","",DATE(YEAR(O125),MONTH(O125),1))</f>
        <v>46447</v>
      </c>
      <c r="U125" s="115" t="n">
        <f aca="false">IF(R125="Ação imediata",1,IF(N125="Não encontrado",2,IF(N125="Revisão",3,IF(N125="Em Elaboração",4,IF(S125="Até 90 dias",5,IF(R125="Validar cadastro",6,0))))))</f>
        <v>0</v>
      </c>
      <c r="V125" s="111" t="str">
        <f aca="false">CHOOSE(U125+1,IF(R125="Planejar revisão","Incluir no plano anual de revisão",IF(R125="Inativo","Sem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125" s="116" t="n">
        <f aca="false">(OR(fArea="Todas",ISNUMBER(SEARCH(fArea,G125))))*(OR(fStatus="Todos",N125=fStatus))*(OR(fSit="Todas",R125=fSit))*(OR(fResp="Todos",P125=fResp))*(OR(fHor="Todos",S125=fHor))</f>
        <v>1</v>
      </c>
      <c r="X125" s="117" t="n">
        <f aca="false">IF(AND(W125=1,U125&gt;0),(7-U125)*100000+50000-IF(ISNUMBER(Q125),Q125,0)+ROW()/1000,0)</f>
        <v>0</v>
      </c>
      <c r="Y125" s="118" t="str">
        <f aca="false">UPPER(A125&amp;" "&amp;TRIM(SUBSTITUTE(C125,CHAR(160)," "))&amp;" "&amp;TRIM(SUBSTITUTE(D125,CHAR(160)," ")))</f>
        <v>BRK-INS-01-015363-PT IT 5020-02572 AVALIAÇÃO CRÍTICA DE RESULTADOS ANALÍTICOS LCQ DCX</v>
      </c>
      <c r="Z125" s="118" t="str">
        <f aca="false">IF(qBusca="","",IF(ISNUMBER(SEARCH(TRIM(qBusca),Y125)),ROW(),""))</f>
        <v/>
      </c>
    </row>
    <row r="126" customFormat="false" ht="19.5" hidden="false" customHeight="true" outlineLevel="0" collapsed="false">
      <c r="A126" s="107" t="s">
        <v>728</v>
      </c>
      <c r="B126" s="108" t="s">
        <v>600</v>
      </c>
      <c r="C126" s="109" t="s">
        <v>729</v>
      </c>
      <c r="D126" s="109" t="s">
        <v>730</v>
      </c>
      <c r="E126" s="109" t="s">
        <v>162</v>
      </c>
      <c r="F126" s="110" t="n">
        <v>46482</v>
      </c>
      <c r="G126" s="108" t="s">
        <v>108</v>
      </c>
      <c r="H126" s="109"/>
      <c r="I126" s="109" t="s">
        <v>163</v>
      </c>
      <c r="J126" s="109"/>
      <c r="K126" s="109"/>
      <c r="L126" s="109" t="s">
        <v>731</v>
      </c>
      <c r="M126" s="108" t="n">
        <v>1</v>
      </c>
      <c r="N126" s="111" t="str">
        <f aca="false">IF(TRIM(SUBSTITUTE(E126,CHAR(160)," "))="Avaiação de uso","Avaliação de uso",IF(TRIM(SUBSTITUTE(E126,CHAR(160)," "))="Cancelada","Cancelado",TRIM(SUBSTITUTE(E126,CHAR(160)," "))))</f>
        <v>Aprovado</v>
      </c>
      <c r="O126" s="112" t="n">
        <f aca="false">IF(ISNUMBER(F126),F126,IFERROR(DATE(RIGHT(RIGHT(TRIM(F126),10),4),MID(RIGHT(TRIM(F126),10),4,2),LEFT(RIGHT(TRIM(F126),10),2)),""))</f>
        <v>46482</v>
      </c>
      <c r="P126" s="111" t="str">
        <f aca="false">PROPER(TRIM(SUBSTITUTE(I126,CHAR(160)," ")))</f>
        <v>Ana Carla Da Cruz Araujo</v>
      </c>
      <c r="Q126" s="113" t="n">
        <f aca="false">IF(O126="","",O126-DataRef)</f>
        <v>181</v>
      </c>
      <c r="R126" s="111" t="str">
        <f aca="false">IF(OR(N126="Cancelado",N126="Fora de Uso"),"Inativo",IF(OR(N126="Revisão",N126="Em Elaboração"),"Em tratamento",IF(OR(N126&lt;&gt;"Aprovado",O126=""),"Validar cadastro",IF(O126&lt;DataRef,"Ação imediata",IF(O126&lt;=EDATE(DataRef,12),"Planejar revisão","Regular")))))</f>
        <v>Planejar revisão</v>
      </c>
      <c r="S126" s="111" t="str">
        <f aca="false">IF(R126="Inativo","Inativo",IF(O126="","Sem validade",IF(O126&lt;DataRef,"Vencida",IF(O126&lt;=DataRef+90,"Até 90 dias",IF(O126&lt;=EDATE(DataRef,12),"91 dias a 12 meses","Após 12 meses")))))</f>
        <v>91 dias a 12 meses</v>
      </c>
      <c r="T126" s="114" t="n">
        <f aca="false">IF(O126="","",DATE(YEAR(O126),MONTH(O126),1))</f>
        <v>46478</v>
      </c>
      <c r="U126" s="115" t="n">
        <f aca="false">IF(R126="Ação imediata",1,IF(N126="Não encontrado",2,IF(N126="Revisão",3,IF(N126="Em Elaboração",4,IF(S126="Até 90 dias",5,IF(R126="Validar cadastro",6,0))))))</f>
        <v>0</v>
      </c>
      <c r="V126" s="111" t="str">
        <f aca="false">CHOOSE(U126+1,IF(R126="Planejar revisão","Incluir no plano anual de revisão",IF(R126="Inativo","Sem ação","Monitorar")),"Revisar ou prorrogar validade","Confirmar status no NDocs","Acompanhar revisão","Concluir elaboração","Iniciar revisão (≤ 90 dias)","Validar aplicabilidade")</f>
        <v>Incluir no plano anual de revisão</v>
      </c>
      <c r="W126" s="116" t="n">
        <f aca="false">(OR(fArea="Todas",ISNUMBER(SEARCH(fArea,G126))))*(OR(fStatus="Todos",N126=fStatus))*(OR(fSit="Todas",R126=fSit))*(OR(fResp="Todos",P126=fResp))*(OR(fHor="Todos",S126=fHor))</f>
        <v>1</v>
      </c>
      <c r="X126" s="117" t="n">
        <f aca="false">IF(AND(W126=1,U126&gt;0),(7-U126)*100000+50000-IF(ISNUMBER(Q126),Q126,0)+ROW()/1000,0)</f>
        <v>0</v>
      </c>
      <c r="Y126" s="118" t="str">
        <f aca="false">UPPER(A126&amp;" "&amp;TRIM(SUBSTITUTE(C126,CHAR(160)," "))&amp;" "&amp;TRIM(SUBSTITUTE(D126,CHAR(160)," ")))</f>
        <v>BRK-INS-01-015875-PT IT 5020-02752 SISTEMÁTICA DE CALIBRAÇÃO E MANUTENÇÃO DOS INSTRUMENTOS/EQUIPAMENTOS DO LCQ RJ - Q4/PE9 E PP5</v>
      </c>
      <c r="Z126" s="118" t="str">
        <f aca="false">IF(qBusca="","",IF(ISNUMBER(SEARCH(TRIM(qBusca),Y126)),ROW(),""))</f>
        <v/>
      </c>
    </row>
    <row r="127" customFormat="false" ht="19.5" hidden="false" customHeight="true" outlineLevel="0" collapsed="false">
      <c r="A127" s="107" t="s">
        <v>732</v>
      </c>
      <c r="B127" s="108" t="s">
        <v>176</v>
      </c>
      <c r="C127" s="109" t="s">
        <v>733</v>
      </c>
      <c r="D127" s="109" t="s">
        <v>734</v>
      </c>
      <c r="E127" s="109" t="s">
        <v>460</v>
      </c>
      <c r="F127" s="110" t="n">
        <v>47987</v>
      </c>
      <c r="G127" s="108" t="s">
        <v>108</v>
      </c>
      <c r="H127" s="109"/>
      <c r="I127" s="109" t="s">
        <v>169</v>
      </c>
      <c r="J127" s="109"/>
      <c r="K127" s="109"/>
      <c r="L127" s="109" t="s">
        <v>735</v>
      </c>
      <c r="M127" s="108" t="n">
        <v>1</v>
      </c>
      <c r="N127" s="111" t="str">
        <f aca="false">IF(TRIM(SUBSTITUTE(E127,CHAR(160)," "))="Avaiação de uso","Avaliação de uso",IF(TRIM(SUBSTITUTE(E127,CHAR(160)," "))="Cancelada","Cancelado",TRIM(SUBSTITUTE(E127,CHAR(160)," "))))</f>
        <v>Aprovado</v>
      </c>
      <c r="O127" s="112" t="n">
        <f aca="false">IF(ISNUMBER(F127),F127,IFERROR(DATE(RIGHT(RIGHT(TRIM(F127),10),4),MID(RIGHT(TRIM(F127),10),4,2),LEFT(RIGHT(TRIM(F127),10),2)),""))</f>
        <v>47987</v>
      </c>
      <c r="P127" s="111" t="str">
        <f aca="false">PROPER(TRIM(SUBSTITUTE(I127,CHAR(160)," ")))</f>
        <v>Larissa Vicente Cardoso Guedes</v>
      </c>
      <c r="Q127" s="113" t="n">
        <f aca="false">IF(O127="","",O127-DataRef)</f>
        <v>1686</v>
      </c>
      <c r="R127" s="111" t="str">
        <f aca="false">IF(OR(N127="Cancelado",N127="Fora de Uso"),"Inativo",IF(OR(N127="Revisão",N127="Em Elaboração"),"Em tratamento",IF(OR(N127&lt;&gt;"Aprovado",O127=""),"Validar cadastro",IF(O127&lt;DataRef,"Ação imediata",IF(O127&lt;=EDATE(DataRef,12),"Planejar revisão","Regular")))))</f>
        <v>Regular</v>
      </c>
      <c r="S127" s="111" t="str">
        <f aca="false">IF(R127="Inativo","Inativo",IF(O127="","Sem validade",IF(O127&lt;DataRef,"Vencida",IF(O127&lt;=DataRef+90,"Até 90 dias",IF(O127&lt;=EDATE(DataRef,12),"91 dias a 12 meses","Após 12 meses")))))</f>
        <v>Após 12 meses</v>
      </c>
      <c r="T127" s="114" t="n">
        <f aca="false">IF(O127="","",DATE(YEAR(O127),MONTH(O127),1))</f>
        <v>47969</v>
      </c>
      <c r="U127" s="115" t="n">
        <f aca="false">IF(R127="Ação imediata",1,IF(N127="Não encontrado",2,IF(N127="Revisão",3,IF(N127="Em Elaboração",4,IF(S127="Até 90 dias",5,IF(R127="Validar cadastro",6,0))))))</f>
        <v>0</v>
      </c>
      <c r="V127" s="111" t="str">
        <f aca="false">CHOOSE(U127+1,IF(R127="Planejar revisão","Incluir no plano anual de revisão",IF(R127="Inativo","Sem ação","Monitorar")),"Revisar ou prorrogar validade","Confirmar status no NDocs","Acompanhar revisão","Concluir elaboração","Iniciar revisão (≤ 90 dias)","Validar aplicabilidade")</f>
        <v>Monitorar</v>
      </c>
      <c r="W127" s="116" t="n">
        <f aca="false">(OR(fArea="Todas",ISNUMBER(SEARCH(fArea,G127))))*(OR(fStatus="Todos",N127=fStatus))*(OR(fSit="Todas",R127=fSit))*(OR(fResp="Todos",P127=fResp))*(OR(fHor="Todos",S127=fHor))</f>
        <v>1</v>
      </c>
      <c r="X127" s="117" t="n">
        <f aca="false">IF(AND(W127=1,U127&gt;0),(7-U127)*100000+50000-IF(ISNUMBER(Q127),Q127,0)+ROW()/1000,0)</f>
        <v>0</v>
      </c>
      <c r="Y127" s="118" t="str">
        <f aca="false">UPPER(A127&amp;" "&amp;TRIM(SUBSTITUTE(C127,CHAR(160)," "))&amp;" "&amp;TRIM(SUBSTITUTE(D127,CHAR(160)," ")))</f>
        <v>BRK-INS-01-016085-PT IT 5020-00144 DESCARTE E LIMPEZA DE MATERIAIS DE LABORATÓRIO</v>
      </c>
      <c r="Z127" s="118" t="str">
        <f aca="false">IF(qBusca="","",IF(ISNUMBER(SEARCH(TRIM(qBusca),Y127)),ROW(),""))</f>
        <v/>
      </c>
    </row>
    <row r="128" customFormat="false" ht="19.5" hidden="false" customHeight="true" outlineLevel="0" collapsed="false">
      <c r="A128" s="107" t="s">
        <v>736</v>
      </c>
      <c r="B128" s="108" t="s">
        <v>159</v>
      </c>
      <c r="C128" s="109" t="s">
        <v>737</v>
      </c>
      <c r="D128" s="109" t="s">
        <v>738</v>
      </c>
      <c r="E128" s="109" t="s">
        <v>162</v>
      </c>
      <c r="F128" s="110" t="n">
        <v>48014</v>
      </c>
      <c r="G128" s="108" t="s">
        <v>108</v>
      </c>
      <c r="H128" s="109"/>
      <c r="I128" s="109" t="s">
        <v>163</v>
      </c>
      <c r="J128" s="109"/>
      <c r="K128" s="109"/>
      <c r="L128" s="109" t="s">
        <v>739</v>
      </c>
      <c r="M128" s="108" t="n">
        <v>1</v>
      </c>
      <c r="N128" s="111" t="str">
        <f aca="false">IF(TRIM(SUBSTITUTE(E128,CHAR(160)," "))="Avaiação de uso","Avaliação de uso",IF(TRIM(SUBSTITUTE(E128,CHAR(160)," "))="Cancelada","Cancelado",TRIM(SUBSTITUTE(E128,CHAR(160)," "))))</f>
        <v>Aprovado</v>
      </c>
      <c r="O128" s="112" t="n">
        <f aca="false">IF(ISNUMBER(F128),F128,IFERROR(DATE(RIGHT(RIGHT(TRIM(F128),10),4),MID(RIGHT(TRIM(F128),10),4,2),LEFT(RIGHT(TRIM(F128),10),2)),""))</f>
        <v>48014</v>
      </c>
      <c r="P128" s="111" t="str">
        <f aca="false">PROPER(TRIM(SUBSTITUTE(I128,CHAR(160)," ")))</f>
        <v>Ana Carla Da Cruz Araujo</v>
      </c>
      <c r="Q128" s="113" t="n">
        <f aca="false">IF(O128="","",O128-DataRef)</f>
        <v>1713</v>
      </c>
      <c r="R128" s="111" t="str">
        <f aca="false">IF(OR(N128="Cancelado",N128="Fora de Uso"),"Inativo",IF(OR(N128="Revisão",N128="Em Elaboração"),"Em tratamento",IF(OR(N128&lt;&gt;"Aprovado",O128=""),"Validar cadastro",IF(O128&lt;DataRef,"Ação imediata",IF(O128&lt;=EDATE(DataRef,12),"Planejar revisão","Regular")))))</f>
        <v>Regular</v>
      </c>
      <c r="S128" s="111" t="str">
        <f aca="false">IF(R128="Inativo","Inativo",IF(O128="","Sem validade",IF(O128&lt;DataRef,"Vencida",IF(O128&lt;=DataRef+90,"Até 90 dias",IF(O128&lt;=EDATE(DataRef,12),"91 dias a 12 meses","Após 12 meses")))))</f>
        <v>Após 12 meses</v>
      </c>
      <c r="T128" s="114" t="n">
        <f aca="false">IF(O128="","",DATE(YEAR(O128),MONTH(O128),1))</f>
        <v>48000</v>
      </c>
      <c r="U128" s="115" t="n">
        <f aca="false">IF(R128="Ação imediata",1,IF(N128="Não encontrado",2,IF(N128="Revisão",3,IF(N128="Em Elaboração",4,IF(S128="Até 90 dias",5,IF(R128="Validar cadastro",6,0))))))</f>
        <v>0</v>
      </c>
      <c r="V128" s="111" t="str">
        <f aca="false">CHOOSE(U128+1,IF(R128="Planejar revisão","Incluir no plano anual de revisão",IF(R128="Inativo","Sem ação","Monitorar")),"Revisar ou prorrogar validade","Confirmar status no NDocs","Acompanhar revisão","Concluir elaboração","Iniciar revisão (≤ 90 dias)","Validar aplicabilidade")</f>
        <v>Monitorar</v>
      </c>
      <c r="W128" s="116" t="n">
        <f aca="false">(OR(fArea="Todas",ISNUMBER(SEARCH(fArea,G128))))*(OR(fStatus="Todos",N128=fStatus))*(OR(fSit="Todas",R128=fSit))*(OR(fResp="Todos",P128=fResp))*(OR(fHor="Todos",S128=fHor))</f>
        <v>1</v>
      </c>
      <c r="X128" s="117" t="n">
        <f aca="false">IF(AND(W128=1,U128&gt;0),(7-U128)*100000+50000-IF(ISNUMBER(Q128),Q128,0)+ROW()/1000,0)</f>
        <v>0</v>
      </c>
      <c r="Y128" s="118" t="str">
        <f aca="false">UPPER(A128&amp;" "&amp;TRIM(SUBSTITUTE(C128,CHAR(160)," "))&amp;" "&amp;TRIM(SUBSTITUTE(D128,CHAR(160)," ")))</f>
        <v>BRK-INS-01-016094-PT IT 5020-00145 ELABORAÇÃO E AJUSTES DO PLANO DE ROTINA DE ANÁLISES - PRA</v>
      </c>
      <c r="Z128" s="118" t="str">
        <f aca="false">IF(qBusca="","",IF(ISNUMBER(SEARCH(TRIM(qBusca),Y128)),ROW(),""))</f>
        <v/>
      </c>
    </row>
    <row r="129" customFormat="false" ht="19.5" hidden="false" customHeight="true" outlineLevel="0" collapsed="false">
      <c r="A129" s="107" t="s">
        <v>740</v>
      </c>
      <c r="B129" s="108" t="s">
        <v>506</v>
      </c>
      <c r="C129" s="109" t="s">
        <v>741</v>
      </c>
      <c r="D129" s="109" t="s">
        <v>742</v>
      </c>
      <c r="E129" s="109" t="s">
        <v>162</v>
      </c>
      <c r="F129" s="110" t="n">
        <v>48023</v>
      </c>
      <c r="G129" s="108" t="s">
        <v>108</v>
      </c>
      <c r="H129" s="109"/>
      <c r="I129" s="109" t="s">
        <v>163</v>
      </c>
      <c r="J129" s="109"/>
      <c r="K129" s="109"/>
      <c r="L129" s="109" t="s">
        <v>743</v>
      </c>
      <c r="M129" s="108" t="n">
        <v>1</v>
      </c>
      <c r="N129" s="111" t="str">
        <f aca="false">IF(TRIM(SUBSTITUTE(E129,CHAR(160)," "))="Avaiação de uso","Avaliação de uso",IF(TRIM(SUBSTITUTE(E129,CHAR(160)," "))="Cancelada","Cancelado",TRIM(SUBSTITUTE(E129,CHAR(160)," "))))</f>
        <v>Aprovado</v>
      </c>
      <c r="O129" s="112" t="n">
        <f aca="false">IF(ISNUMBER(F129),F129,IFERROR(DATE(RIGHT(RIGHT(TRIM(F129),10),4),MID(RIGHT(TRIM(F129),10),4,2),LEFT(RIGHT(TRIM(F129),10),2)),""))</f>
        <v>48023</v>
      </c>
      <c r="P129" s="111" t="str">
        <f aca="false">PROPER(TRIM(SUBSTITUTE(I129,CHAR(160)," ")))</f>
        <v>Ana Carla Da Cruz Araujo</v>
      </c>
      <c r="Q129" s="113" t="n">
        <f aca="false">IF(O129="","",O129-DataRef)</f>
        <v>1722</v>
      </c>
      <c r="R129" s="111" t="str">
        <f aca="false">IF(OR(N129="Cancelado",N129="Fora de Uso"),"Inativo",IF(OR(N129="Revisão",N129="Em Elaboração"),"Em tratamento",IF(OR(N129&lt;&gt;"Aprovado",O129=""),"Validar cadastro",IF(O129&lt;DataRef,"Ação imediata",IF(O129&lt;=EDATE(DataRef,12),"Planejar revisão","Regular")))))</f>
        <v>Regular</v>
      </c>
      <c r="S129" s="111" t="str">
        <f aca="false">IF(R129="Inativo","Inativo",IF(O129="","Sem validade",IF(O129&lt;DataRef,"Vencida",IF(O129&lt;=DataRef+90,"Até 90 dias",IF(O129&lt;=EDATE(DataRef,12),"91 dias a 12 meses","Após 12 meses")))))</f>
        <v>Após 12 meses</v>
      </c>
      <c r="T129" s="114" t="n">
        <f aca="false">IF(O129="","",DATE(YEAR(O129),MONTH(O129),1))</f>
        <v>48000</v>
      </c>
      <c r="U129" s="115" t="n">
        <f aca="false">IF(R129="Ação imediata",1,IF(N129="Não encontrado",2,IF(N129="Revisão",3,IF(N129="Em Elaboração",4,IF(S129="Até 90 dias",5,IF(R129="Validar cadastro",6,0))))))</f>
        <v>0</v>
      </c>
      <c r="V129" s="111" t="str">
        <f aca="false">CHOOSE(U129+1,IF(R129="Planejar revisão","Incluir no plano anual de revisão",IF(R129="Inativo","Sem ação","Monitorar")),"Revisar ou prorrogar validade","Confirmar status no NDocs","Acompanhar revisão","Concluir elaboração","Iniciar revisão (≤ 90 dias)","Validar aplicabilidade")</f>
        <v>Monitorar</v>
      </c>
      <c r="W129" s="116" t="n">
        <f aca="false">(OR(fArea="Todas",ISNUMBER(SEARCH(fArea,G129))))*(OR(fStatus="Todos",N129=fStatus))*(OR(fSit="Todas",R129=fSit))*(OR(fResp="Todos",P129=fResp))*(OR(fHor="Todos",S129=fHor))</f>
        <v>1</v>
      </c>
      <c r="X129" s="117" t="n">
        <f aca="false">IF(AND(W129=1,U129&gt;0),(7-U129)*100000+50000-IF(ISNUMBER(Q129),Q129,0)+ROW()/1000,0)</f>
        <v>0</v>
      </c>
      <c r="Y129" s="118" t="str">
        <f aca="false">UPPER(A129&amp;" "&amp;TRIM(SUBSTITUTE(C129,CHAR(160)," "))&amp;" "&amp;TRIM(SUBSTITUTE(D129,CHAR(160)," ")))</f>
        <v>BRK-INS-01-015184-PT IT 5020-02510 SISTEMÁTICA DE TREINAMENTO E DESENVOLVIMENTO - LCQ IND RJ</v>
      </c>
      <c r="Z129" s="118" t="str">
        <f aca="false">IF(qBusca="","",IF(ISNUMBER(SEARCH(TRIM(qBusca),Y129)),ROW(),""))</f>
        <v/>
      </c>
    </row>
  </sheetData>
  <autoFilter ref="A4:Z129"/>
  <mergeCells count="5">
    <mergeCell ref="A1:D1"/>
    <mergeCell ref="F1:G1"/>
    <mergeCell ref="A2:D2"/>
    <mergeCell ref="A3:M3"/>
    <mergeCell ref="N3:Z3"/>
  </mergeCells>
  <conditionalFormatting sqref="R5:R129">
    <cfRule type="cellIs" priority="2" operator="equal" aboveAverage="0" equalAverage="0" bottom="0" percent="0" rank="0" text="" dxfId="7">
      <formula>"Ação imediata"</formula>
    </cfRule>
    <cfRule type="cellIs" priority="3" operator="equal" aboveAverage="0" equalAverage="0" bottom="0" percent="0" rank="0" text="" dxfId="7">
      <formula>"Validar cadastro"</formula>
    </cfRule>
    <cfRule type="cellIs" priority="4" operator="equal" aboveAverage="0" equalAverage="0" bottom="0" percent="0" rank="0" text="" dxfId="8">
      <formula>"Em tratamento"</formula>
    </cfRule>
    <cfRule type="cellIs" priority="5" operator="equal" aboveAverage="0" equalAverage="0" bottom="0" percent="0" rank="0" text="" dxfId="8">
      <formula>"Planejar revisão"</formula>
    </cfRule>
    <cfRule type="cellIs" priority="6" operator="equal" aboveAverage="0" equalAverage="0" bottom="0" percent="0" rank="0" text="" dxfId="28">
      <formula>"Inativo"</formula>
    </cfRule>
    <cfRule type="cellIs" priority="7" operator="equal" aboveAverage="0" equalAverage="0" bottom="0" percent="0" rank="0" text="" dxfId="0">
      <formula>"Regular"</formula>
    </cfRule>
  </conditionalFormatting>
  <conditionalFormatting sqref="A5:A129">
    <cfRule type="expression" priority="8" aboveAverage="0" equalAverage="0" bottom="0" percent="0" rank="0" text="" dxfId="29">
      <formula>$M5&gt;1</formula>
    </cfRule>
  </conditionalFormatting>
  <conditionalFormatting sqref="N5:N129">
    <cfRule type="cellIs" priority="9" operator="equal" aboveAverage="0" equalAverage="0" bottom="0" percent="0" rank="0" text="" dxfId="0">
      <formula>"Aprovado"</formula>
    </cfRule>
    <cfRule type="cellIs" priority="10" operator="equal" aboveAverage="0" equalAverage="0" bottom="0" percent="0" rank="0" text="" dxfId="1">
      <formula>"Revisão"</formula>
    </cfRule>
    <cfRule type="cellIs" priority="11" operator="equal" aboveAverage="0" equalAverage="0" bottom="0" percent="0" rank="0" text="" dxfId="1">
      <formula>"Em Elaboração"</formula>
    </cfRule>
    <cfRule type="cellIs" priority="12" operator="equal" aboveAverage="0" equalAverage="0" bottom="0" percent="0" rank="0" text="" dxfId="30">
      <formula>"Não encontrado"</formula>
    </cfRule>
    <cfRule type="cellIs" priority="13" operator="equal" aboveAverage="0" equalAverage="0" bottom="0" percent="0" rank="0" text="" dxfId="30">
      <formula>"Avaliação de uso"</formula>
    </cfRule>
    <cfRule type="cellIs" priority="14" operator="equal" aboveAverage="0" equalAverage="0" bottom="0" percent="0" rank="0" text="" dxfId="9">
      <formula>"Cancelado"</formula>
    </cfRule>
    <cfRule type="cellIs" priority="15" operator="equal" aboveAverage="0" equalAverage="0" bottom="0" percent="0" rank="0" text="" dxfId="9">
      <formula>"Fora de Uso"</formula>
    </cfRule>
  </conditionalFormatting>
  <conditionalFormatting sqref="Q5:Q129">
    <cfRule type="cellIs" priority="16" operator="lessThan" aboveAverage="0" equalAverage="0" bottom="0" percent="0" rank="0" text="" dxfId="5">
      <formula>0</formula>
    </cfRule>
  </conditionalFormatting>
  <conditionalFormatting sqref="U5:U129">
    <cfRule type="cellIs" priority="17" operator="equal" aboveAverage="0" equalAverage="0" bottom="0" percent="0" rank="0" text="" dxfId="31">
      <formula>0</formula>
    </cfRule>
  </conditionalFormatting>
  <hyperlinks>
    <hyperlink ref="E1" location="'INÍCIO'!A1" display="⌂  Início"/>
    <hyperlink ref="F1" location="'DASHBOARD EXECUTIVO'!A1" display="▦  Dashboard"/>
    <hyperlink ref="H1" location="'PESQUISA'!A1" display="⌕  Pesquisa"/>
    <hyperlink ref="I1" location="'QUALIDADE BASE'!A1" display="✓  Qualida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I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5" min="4" style="0" width="26"/>
    <col collapsed="false" customWidth="true" hidden="false" outlineLevel="0" max="6" min="6" style="0" width="60"/>
    <col collapsed="false" customWidth="true" hidden="false" outlineLevel="0" max="7" min="7" style="0" width="30"/>
    <col collapsed="false" customWidth="true" hidden="false" outlineLevel="0" max="8" min="8" style="0" width="4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3.75" hidden="false" customHeight="true" outlineLevel="0" collapsed="false">
      <c r="A2" s="1"/>
      <c r="B2" s="91" t="s">
        <v>744</v>
      </c>
      <c r="C2" s="91"/>
      <c r="D2" s="91"/>
      <c r="E2" s="91"/>
      <c r="F2" s="91"/>
      <c r="G2" s="3"/>
      <c r="H2" s="3"/>
      <c r="I2" s="1"/>
    </row>
    <row r="3" customFormat="false" ht="19.5" hidden="false" customHeight="true" outlineLevel="0" collapsed="false">
      <c r="A3" s="1"/>
      <c r="B3" s="52" t="s">
        <v>745</v>
      </c>
      <c r="C3" s="52"/>
      <c r="D3" s="52"/>
      <c r="E3" s="52"/>
      <c r="F3" s="52"/>
      <c r="G3" s="3"/>
      <c r="H3" s="3"/>
      <c r="I3" s="1"/>
    </row>
    <row r="4" customFormat="false" ht="27.75" hidden="false" customHeight="true" outlineLevel="0" collapsed="false">
      <c r="A4" s="1"/>
      <c r="B4" s="39" t="s">
        <v>64</v>
      </c>
      <c r="C4" s="39"/>
      <c r="D4" s="39" t="s">
        <v>65</v>
      </c>
      <c r="E4" s="39" t="s">
        <v>66</v>
      </c>
      <c r="F4" s="1"/>
      <c r="G4" s="39" t="s">
        <v>67</v>
      </c>
      <c r="H4" s="39" t="s">
        <v>69</v>
      </c>
      <c r="I4" s="1"/>
    </row>
    <row r="5" customFormat="false" ht="21.75" hidden="false" customHeight="true" outlineLevel="0" collapsed="false">
      <c r="A5" s="1"/>
      <c r="B5" s="9" t="s">
        <v>746</v>
      </c>
      <c r="C5" s="9"/>
      <c r="D5" s="13" t="s">
        <v>747</v>
      </c>
      <c r="E5" s="11" t="s">
        <v>748</v>
      </c>
      <c r="F5" s="12" t="s">
        <v>749</v>
      </c>
      <c r="G5" s="119" t="s">
        <v>750</v>
      </c>
      <c r="H5" s="119"/>
      <c r="I5" s="1"/>
    </row>
    <row r="6" customFormat="false" ht="36" hidden="false" customHeight="true" outlineLevel="0" collapsed="false">
      <c r="A6" s="1"/>
      <c r="B6" s="120" t="n">
        <v>131</v>
      </c>
      <c r="C6" s="120"/>
      <c r="D6" s="121" t="n">
        <f aca="false">COUNTA('BASE CONSOLIDADA'!$A$5:$A$129)</f>
        <v>125</v>
      </c>
      <c r="E6" s="122" t="n">
        <f aca="false">COUNTIF($C$27:$C$200,"Crítico")</f>
        <v>1</v>
      </c>
      <c r="F6" s="123" t="n">
        <f aca="false">COUNTIF($C$27:$C$200,"Atenção")</f>
        <v>10</v>
      </c>
      <c r="G6" s="124" t="n">
        <f aca="false">COUNTIF($C$27:$C$200,"Informativo")</f>
        <v>14</v>
      </c>
      <c r="H6" s="124"/>
      <c r="I6" s="1"/>
    </row>
    <row r="7" customFormat="false" ht="18" hidden="false" customHeight="true" outlineLevel="0" collapsed="false">
      <c r="A7" s="1"/>
      <c r="B7" s="19" t="s">
        <v>751</v>
      </c>
      <c r="C7" s="19"/>
      <c r="D7" s="19" t="s">
        <v>752</v>
      </c>
      <c r="E7" s="19" t="s">
        <v>753</v>
      </c>
      <c r="F7" s="19" t="s">
        <v>754</v>
      </c>
      <c r="G7" s="19" t="s">
        <v>755</v>
      </c>
      <c r="H7" s="19"/>
      <c r="I7" s="1"/>
    </row>
    <row r="8" customFormat="false" ht="9.75" hidden="false" customHeight="true" outlineLevel="0" collapsed="false">
      <c r="A8" s="1"/>
      <c r="B8" s="20"/>
      <c r="C8" s="22"/>
      <c r="D8" s="125"/>
      <c r="E8" s="125"/>
      <c r="F8" s="125"/>
      <c r="G8" s="20"/>
      <c r="H8" s="22"/>
      <c r="I8" s="1"/>
    </row>
    <row r="9" customFormat="false" ht="15" hidden="false" customHeight="false" outlineLevel="0" collapsed="false">
      <c r="A9" s="1"/>
      <c r="B9" s="126" t="s">
        <v>756</v>
      </c>
      <c r="C9" s="126"/>
      <c r="D9" s="126"/>
      <c r="E9" s="126"/>
      <c r="F9" s="126"/>
      <c r="G9" s="126"/>
      <c r="H9" s="126"/>
      <c r="I9" s="1"/>
    </row>
    <row r="10" customFormat="false" ht="15" hidden="false" customHeight="false" outlineLevel="0" collapsed="false">
      <c r="A10" s="1"/>
      <c r="B10" s="127" t="s">
        <v>129</v>
      </c>
      <c r="C10" s="127" t="s">
        <v>757</v>
      </c>
      <c r="D10" s="127" t="s">
        <v>758</v>
      </c>
      <c r="E10" s="127"/>
      <c r="F10" s="127" t="s">
        <v>759</v>
      </c>
      <c r="G10" s="71"/>
      <c r="H10" s="71"/>
      <c r="I10" s="1"/>
    </row>
    <row r="11" customFormat="false" ht="15" hidden="false" customHeight="false" outlineLevel="0" collapsed="false">
      <c r="A11" s="1"/>
      <c r="B11" s="128" t="n">
        <v>1</v>
      </c>
      <c r="C11" s="72" t="n">
        <f aca="false">SUMPRODUCT(--('BASE CONSOLIDADA'!$E$5:$E$129&lt;&gt;'BASE CONSOLIDADA'!$N$5:$N$129))</f>
        <v>12</v>
      </c>
      <c r="D11" s="129" t="s">
        <v>760</v>
      </c>
      <c r="E11" s="129"/>
      <c r="F11" s="128" t="str">
        <f aca="false">IF(C11=0,"OK","Informativo")</f>
        <v>Informativo</v>
      </c>
      <c r="G11" s="128"/>
      <c r="H11" s="128"/>
      <c r="I11" s="1"/>
    </row>
    <row r="12" customFormat="false" ht="15" hidden="false" customHeight="false" outlineLevel="0" collapsed="false">
      <c r="A12" s="1"/>
      <c r="B12" s="128" t="n">
        <v>2</v>
      </c>
      <c r="C12" s="72" t="n">
        <f aca="false">SUMPRODUCT(--ISTEXT('BASE CONSOLIDADA'!$F$5:$F$129))</f>
        <v>2</v>
      </c>
      <c r="D12" s="129" t="s">
        <v>761</v>
      </c>
      <c r="E12" s="129"/>
      <c r="F12" s="128" t="str">
        <f aca="false">IF(C12=0,"OK","Atenção")</f>
        <v>Atenção</v>
      </c>
      <c r="G12" s="128"/>
      <c r="H12" s="128"/>
      <c r="I12" s="1"/>
    </row>
    <row r="13" customFormat="false" ht="15" hidden="false" customHeight="false" outlineLevel="0" collapsed="false">
      <c r="A13" s="1"/>
      <c r="B13" s="128" t="n">
        <v>3</v>
      </c>
      <c r="C13" s="72" t="n">
        <f aca="false">SUMPRODUCT(('BASE CONSOLIDADA'!$O$5:$O$129="")*('BASE CONSOLIDADA'!$R$5:$R$129&lt;&gt;"Inativo")*('BASE CONSOLIDADA'!$N$5:$N$129&lt;&gt;"Em Elaboração"))</f>
        <v>0</v>
      </c>
      <c r="D13" s="129" t="s">
        <v>762</v>
      </c>
      <c r="E13" s="129"/>
      <c r="F13" s="128" t="str">
        <f aca="false">IF(C13=0,"OK","Crítico")</f>
        <v>OK</v>
      </c>
      <c r="G13" s="128"/>
      <c r="H13" s="128"/>
      <c r="I13" s="1"/>
    </row>
    <row r="14" customFormat="false" ht="15" hidden="false" customHeight="false" outlineLevel="0" collapsed="false">
      <c r="A14" s="1"/>
      <c r="B14" s="128" t="n">
        <v>4</v>
      </c>
      <c r="C14" s="72" t="n">
        <f aca="false">COUNTBLANK('BASE CONSOLIDADA'!$I$5:$I$129)</f>
        <v>0</v>
      </c>
      <c r="D14" s="129" t="s">
        <v>763</v>
      </c>
      <c r="E14" s="129"/>
      <c r="F14" s="128" t="str">
        <f aca="false">IF(C14=0,"OK","Crítico")</f>
        <v>OK</v>
      </c>
      <c r="G14" s="128"/>
      <c r="H14" s="128"/>
      <c r="I14" s="1"/>
    </row>
    <row r="15" customFormat="false" ht="15" hidden="false" customHeight="false" outlineLevel="0" collapsed="false">
      <c r="A15" s="1"/>
      <c r="B15" s="128" t="n">
        <v>5</v>
      </c>
      <c r="C15" s="72" t="n">
        <f aca="false">COUNTIF('BASE CONSOLIDADA'!$N$5:$N$129,"Não encontrado")+COUNTIF('BASE CONSOLIDADA'!$N$5:$N$129,"Avaliação de uso")</f>
        <v>2</v>
      </c>
      <c r="D15" s="129" t="s">
        <v>764</v>
      </c>
      <c r="E15" s="129"/>
      <c r="F15" s="128" t="str">
        <f aca="false">IF(C15=0,"OK","Crítico")</f>
        <v>Crítico</v>
      </c>
      <c r="G15" s="128"/>
      <c r="H15" s="128"/>
      <c r="I15" s="1"/>
    </row>
    <row r="16" customFormat="false" ht="15" hidden="false" customHeight="false" outlineLevel="0" collapsed="false">
      <c r="A16" s="1"/>
      <c r="B16" s="128" t="n">
        <v>6</v>
      </c>
      <c r="C16" s="72" t="n">
        <f aca="false">COUNTIF('BASE CONSOLIDADA'!$M$5:$M$129,"&gt;1")</f>
        <v>6</v>
      </c>
      <c r="D16" s="129" t="s">
        <v>765</v>
      </c>
      <c r="E16" s="129"/>
      <c r="F16" s="128" t="str">
        <f aca="false">IF(C16=0,"OK","Informativo")</f>
        <v>Informativo</v>
      </c>
      <c r="G16" s="128"/>
      <c r="H16" s="128"/>
      <c r="I16" s="1"/>
    </row>
    <row r="17" customFormat="false" ht="15" hidden="false" customHeight="false" outlineLevel="0" collapsed="false">
      <c r="A17" s="1"/>
      <c r="B17" s="128" t="n">
        <v>7</v>
      </c>
      <c r="C17" s="72" t="n">
        <f aca="false">SUMPRODUCT(--ISERROR('BASE CONSOLIDADA'!$N$5:$Z$129))</f>
        <v>0</v>
      </c>
      <c r="D17" s="129" t="s">
        <v>766</v>
      </c>
      <c r="E17" s="129"/>
      <c r="F17" s="128" t="str">
        <f aca="false">IF(C17=0,"OK","Crítico")</f>
        <v>OK</v>
      </c>
      <c r="G17" s="128"/>
      <c r="H17" s="128"/>
      <c r="I17" s="1"/>
    </row>
    <row r="18" customFormat="false" ht="15" hidden="false" customHeight="false" outlineLevel="0" collapsed="false">
      <c r="A18" s="1"/>
      <c r="B18" s="128" t="n">
        <v>8</v>
      </c>
      <c r="C18" s="72" t="n">
        <f aca="false">SUMPRODUCT(--ISERROR(LPP!$A$1:$N$124))+SUMPRODUCT(--ISERROR('AST Geral'!$A$1:$N$43))+SUMPRODUCT(--ISERROR(MO!$A$1:$N$20))</f>
        <v>26</v>
      </c>
      <c r="D18" s="129" t="s">
        <v>767</v>
      </c>
      <c r="E18" s="129"/>
      <c r="F18" s="128" t="str">
        <f aca="false">IF(C18=0,"OK","Atenção")</f>
        <v>Atenção</v>
      </c>
      <c r="G18" s="128"/>
      <c r="H18" s="128"/>
      <c r="I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26" t="s">
        <v>768</v>
      </c>
      <c r="C24" s="126"/>
      <c r="D24" s="126"/>
      <c r="E24" s="126"/>
      <c r="F24" s="126"/>
      <c r="G24" s="126"/>
      <c r="H24" s="126"/>
      <c r="I24" s="1"/>
    </row>
    <row r="25" customFormat="false" ht="15" hidden="false" customHeight="false" outlineLevel="0" collapsed="false">
      <c r="A25" s="1"/>
      <c r="B25" s="48" t="s">
        <v>769</v>
      </c>
      <c r="C25" s="48"/>
      <c r="D25" s="48"/>
      <c r="E25" s="48"/>
      <c r="F25" s="48"/>
      <c r="G25" s="48"/>
      <c r="H25" s="48"/>
      <c r="I25" s="1"/>
    </row>
    <row r="26" customFormat="false" ht="15" hidden="false" customHeight="false" outlineLevel="0" collapsed="false">
      <c r="A26" s="1"/>
      <c r="B26" s="98" t="s">
        <v>770</v>
      </c>
      <c r="C26" s="98" t="s">
        <v>771</v>
      </c>
      <c r="D26" s="98" t="s">
        <v>772</v>
      </c>
      <c r="E26" s="98" t="s">
        <v>773</v>
      </c>
      <c r="F26" s="98" t="s">
        <v>774</v>
      </c>
      <c r="G26" s="98" t="s">
        <v>775</v>
      </c>
      <c r="H26" s="98" t="s">
        <v>776</v>
      </c>
      <c r="I26" s="1"/>
    </row>
    <row r="27" customFormat="false" ht="30" hidden="false" customHeight="true" outlineLevel="0" collapsed="false">
      <c r="A27" s="1"/>
      <c r="B27" s="77" t="s">
        <v>777</v>
      </c>
      <c r="C27" s="130" t="s">
        <v>778</v>
      </c>
      <c r="D27" s="77" t="s">
        <v>779</v>
      </c>
      <c r="E27" s="77" t="s">
        <v>249</v>
      </c>
      <c r="F27" s="77" t="s">
        <v>780</v>
      </c>
      <c r="G27" s="77" t="s">
        <v>781</v>
      </c>
      <c r="H27" s="77" t="s">
        <v>782</v>
      </c>
      <c r="I27" s="1"/>
    </row>
    <row r="28" customFormat="false" ht="30" hidden="false" customHeight="true" outlineLevel="0" collapsed="false">
      <c r="A28" s="1"/>
      <c r="B28" s="77" t="s">
        <v>783</v>
      </c>
      <c r="C28" s="130" t="s">
        <v>784</v>
      </c>
      <c r="D28" s="77" t="s">
        <v>785</v>
      </c>
      <c r="E28" s="77" t="s">
        <v>255</v>
      </c>
      <c r="F28" s="77" t="s">
        <v>786</v>
      </c>
      <c r="G28" s="77" t="s">
        <v>259</v>
      </c>
      <c r="H28" s="77" t="s">
        <v>787</v>
      </c>
      <c r="I28" s="1"/>
    </row>
    <row r="29" customFormat="false" ht="30" hidden="false" customHeight="true" outlineLevel="0" collapsed="false">
      <c r="A29" s="1"/>
      <c r="B29" s="77" t="s">
        <v>788</v>
      </c>
      <c r="C29" s="130" t="s">
        <v>784</v>
      </c>
      <c r="D29" s="77" t="s">
        <v>785</v>
      </c>
      <c r="E29" s="77" t="s">
        <v>281</v>
      </c>
      <c r="F29" s="77" t="s">
        <v>789</v>
      </c>
      <c r="G29" s="77" t="s">
        <v>285</v>
      </c>
      <c r="H29" s="77" t="s">
        <v>787</v>
      </c>
      <c r="I29" s="1"/>
    </row>
    <row r="30" customFormat="false" ht="30" hidden="false" customHeight="true" outlineLevel="0" collapsed="false">
      <c r="A30" s="1"/>
      <c r="B30" s="77" t="s">
        <v>790</v>
      </c>
      <c r="C30" s="130" t="s">
        <v>784</v>
      </c>
      <c r="D30" s="77" t="s">
        <v>791</v>
      </c>
      <c r="E30" s="77" t="s">
        <v>599</v>
      </c>
      <c r="F30" s="77" t="s">
        <v>792</v>
      </c>
      <c r="G30" s="77" t="s">
        <v>604</v>
      </c>
      <c r="H30" s="77" t="s">
        <v>793</v>
      </c>
      <c r="I30" s="1"/>
    </row>
    <row r="31" customFormat="false" ht="30" hidden="false" customHeight="true" outlineLevel="0" collapsed="false">
      <c r="A31" s="1"/>
      <c r="B31" s="77" t="s">
        <v>794</v>
      </c>
      <c r="C31" s="130" t="s">
        <v>784</v>
      </c>
      <c r="D31" s="77" t="s">
        <v>791</v>
      </c>
      <c r="E31" s="77" t="s">
        <v>609</v>
      </c>
      <c r="F31" s="77" t="s">
        <v>792</v>
      </c>
      <c r="G31" s="77" t="s">
        <v>613</v>
      </c>
      <c r="H31" s="77" t="s">
        <v>793</v>
      </c>
      <c r="I31" s="1"/>
    </row>
    <row r="32" customFormat="false" ht="30" hidden="false" customHeight="true" outlineLevel="0" collapsed="false">
      <c r="A32" s="1"/>
      <c r="B32" s="77" t="s">
        <v>795</v>
      </c>
      <c r="C32" s="130" t="s">
        <v>784</v>
      </c>
      <c r="D32" s="77" t="s">
        <v>791</v>
      </c>
      <c r="E32" s="77" t="s">
        <v>614</v>
      </c>
      <c r="F32" s="77" t="s">
        <v>792</v>
      </c>
      <c r="G32" s="77" t="s">
        <v>617</v>
      </c>
      <c r="H32" s="77" t="s">
        <v>793</v>
      </c>
      <c r="I32" s="1"/>
    </row>
    <row r="33" customFormat="false" ht="30" hidden="false" customHeight="true" outlineLevel="0" collapsed="false">
      <c r="A33" s="1"/>
      <c r="B33" s="77" t="s">
        <v>796</v>
      </c>
      <c r="C33" s="130" t="s">
        <v>784</v>
      </c>
      <c r="D33" s="77" t="s">
        <v>797</v>
      </c>
      <c r="E33" s="77" t="s">
        <v>592</v>
      </c>
      <c r="F33" s="77" t="s">
        <v>798</v>
      </c>
      <c r="G33" s="77" t="s">
        <v>799</v>
      </c>
      <c r="H33" s="77" t="s">
        <v>800</v>
      </c>
      <c r="I33" s="1"/>
    </row>
    <row r="34" customFormat="false" ht="30" hidden="false" customHeight="true" outlineLevel="0" collapsed="false">
      <c r="A34" s="1"/>
      <c r="B34" s="77" t="s">
        <v>801</v>
      </c>
      <c r="C34" s="130" t="s">
        <v>784</v>
      </c>
      <c r="D34" s="77" t="s">
        <v>761</v>
      </c>
      <c r="E34" s="77" t="s">
        <v>609</v>
      </c>
      <c r="F34" s="77" t="s">
        <v>802</v>
      </c>
      <c r="G34" s="77" t="s">
        <v>803</v>
      </c>
      <c r="H34" s="77" t="s">
        <v>804</v>
      </c>
      <c r="I34" s="1"/>
    </row>
    <row r="35" customFormat="false" ht="30" hidden="false" customHeight="true" outlineLevel="0" collapsed="false">
      <c r="A35" s="1"/>
      <c r="B35" s="77" t="s">
        <v>805</v>
      </c>
      <c r="C35" s="130" t="s">
        <v>784</v>
      </c>
      <c r="D35" s="77" t="s">
        <v>761</v>
      </c>
      <c r="E35" s="77" t="s">
        <v>672</v>
      </c>
      <c r="F35" s="77" t="s">
        <v>806</v>
      </c>
      <c r="G35" s="77" t="s">
        <v>807</v>
      </c>
      <c r="H35" s="77" t="s">
        <v>804</v>
      </c>
      <c r="I35" s="1"/>
    </row>
    <row r="36" customFormat="false" ht="30" hidden="false" customHeight="true" outlineLevel="0" collapsed="false">
      <c r="A36" s="1"/>
      <c r="B36" s="77" t="s">
        <v>808</v>
      </c>
      <c r="C36" s="130" t="s">
        <v>784</v>
      </c>
      <c r="D36" s="77" t="s">
        <v>809</v>
      </c>
      <c r="E36" s="77" t="s">
        <v>810</v>
      </c>
      <c r="F36" s="77" t="s">
        <v>811</v>
      </c>
      <c r="G36" s="77" t="s">
        <v>115</v>
      </c>
      <c r="H36" s="77" t="s">
        <v>812</v>
      </c>
      <c r="I36" s="1"/>
    </row>
    <row r="37" customFormat="false" ht="30" hidden="false" customHeight="true" outlineLevel="0" collapsed="false">
      <c r="A37" s="1"/>
      <c r="B37" s="77" t="s">
        <v>813</v>
      </c>
      <c r="C37" s="130" t="s">
        <v>784</v>
      </c>
      <c r="D37" s="77" t="s">
        <v>809</v>
      </c>
      <c r="E37" s="77" t="s">
        <v>814</v>
      </c>
      <c r="F37" s="77" t="s">
        <v>815</v>
      </c>
      <c r="G37" s="77" t="s">
        <v>117</v>
      </c>
      <c r="H37" s="77" t="s">
        <v>812</v>
      </c>
      <c r="I37" s="1"/>
    </row>
    <row r="38" customFormat="false" ht="30" hidden="false" customHeight="true" outlineLevel="0" collapsed="false">
      <c r="A38" s="1"/>
      <c r="B38" s="77" t="s">
        <v>816</v>
      </c>
      <c r="C38" s="130" t="s">
        <v>817</v>
      </c>
      <c r="D38" s="77" t="s">
        <v>818</v>
      </c>
      <c r="E38" s="77" t="s">
        <v>255</v>
      </c>
      <c r="F38" s="77" t="s">
        <v>819</v>
      </c>
      <c r="G38" s="77" t="s">
        <v>259</v>
      </c>
      <c r="H38" s="77" t="s">
        <v>820</v>
      </c>
      <c r="I38" s="1"/>
    </row>
    <row r="39" customFormat="false" ht="30" hidden="false" customHeight="true" outlineLevel="0" collapsed="false">
      <c r="A39" s="1"/>
      <c r="B39" s="77" t="s">
        <v>821</v>
      </c>
      <c r="C39" s="130" t="s">
        <v>817</v>
      </c>
      <c r="D39" s="77" t="s">
        <v>818</v>
      </c>
      <c r="E39" s="77" t="s">
        <v>281</v>
      </c>
      <c r="F39" s="77" t="s">
        <v>819</v>
      </c>
      <c r="G39" s="77" t="s">
        <v>285</v>
      </c>
      <c r="H39" s="77" t="s">
        <v>820</v>
      </c>
      <c r="I39" s="1"/>
    </row>
    <row r="40" customFormat="false" ht="30" hidden="false" customHeight="true" outlineLevel="0" collapsed="false">
      <c r="A40" s="1"/>
      <c r="B40" s="77" t="s">
        <v>822</v>
      </c>
      <c r="C40" s="130" t="s">
        <v>817</v>
      </c>
      <c r="D40" s="77" t="s">
        <v>823</v>
      </c>
      <c r="E40" s="77" t="s">
        <v>281</v>
      </c>
      <c r="F40" s="77" t="s">
        <v>824</v>
      </c>
      <c r="G40" s="77" t="s">
        <v>285</v>
      </c>
      <c r="H40" s="77" t="s">
        <v>825</v>
      </c>
      <c r="I40" s="1"/>
    </row>
    <row r="41" customFormat="false" ht="30" hidden="false" customHeight="true" outlineLevel="0" collapsed="false">
      <c r="A41" s="1"/>
      <c r="B41" s="77" t="s">
        <v>826</v>
      </c>
      <c r="C41" s="130" t="s">
        <v>817</v>
      </c>
      <c r="D41" s="77" t="s">
        <v>818</v>
      </c>
      <c r="E41" s="77" t="s">
        <v>354</v>
      </c>
      <c r="F41" s="77" t="s">
        <v>819</v>
      </c>
      <c r="G41" s="77" t="s">
        <v>357</v>
      </c>
      <c r="H41" s="77" t="s">
        <v>820</v>
      </c>
      <c r="I41" s="1"/>
    </row>
    <row r="42" customFormat="false" ht="30" hidden="false" customHeight="true" outlineLevel="0" collapsed="false">
      <c r="A42" s="1"/>
      <c r="B42" s="77" t="s">
        <v>827</v>
      </c>
      <c r="C42" s="130" t="s">
        <v>817</v>
      </c>
      <c r="D42" s="77" t="s">
        <v>828</v>
      </c>
      <c r="E42" s="77" t="s">
        <v>221</v>
      </c>
      <c r="F42" s="77" t="s">
        <v>829</v>
      </c>
      <c r="G42" s="77" t="s">
        <v>830</v>
      </c>
      <c r="H42" s="77" t="s">
        <v>831</v>
      </c>
      <c r="I42" s="1"/>
    </row>
    <row r="43" customFormat="false" ht="30" hidden="false" customHeight="true" outlineLevel="0" collapsed="false">
      <c r="A43" s="1"/>
      <c r="B43" s="77" t="s">
        <v>832</v>
      </c>
      <c r="C43" s="130" t="s">
        <v>817</v>
      </c>
      <c r="D43" s="77" t="s">
        <v>833</v>
      </c>
      <c r="E43" s="77" t="s">
        <v>592</v>
      </c>
      <c r="F43" s="77" t="s">
        <v>834</v>
      </c>
      <c r="G43" s="77" t="s">
        <v>835</v>
      </c>
      <c r="H43" s="77" t="s">
        <v>836</v>
      </c>
      <c r="I43" s="1"/>
    </row>
    <row r="44" customFormat="false" ht="30" hidden="false" customHeight="true" outlineLevel="0" collapsed="false">
      <c r="A44" s="1"/>
      <c r="B44" s="77" t="s">
        <v>837</v>
      </c>
      <c r="C44" s="130" t="s">
        <v>817</v>
      </c>
      <c r="D44" s="77" t="s">
        <v>797</v>
      </c>
      <c r="E44" s="77" t="s">
        <v>838</v>
      </c>
      <c r="F44" s="77" t="s">
        <v>839</v>
      </c>
      <c r="G44" s="77" t="s">
        <v>840</v>
      </c>
      <c r="H44" s="77" t="s">
        <v>841</v>
      </c>
      <c r="I44" s="1"/>
    </row>
    <row r="45" customFormat="false" ht="30" hidden="false" customHeight="true" outlineLevel="0" collapsed="false">
      <c r="A45" s="1"/>
      <c r="B45" s="77" t="s">
        <v>842</v>
      </c>
      <c r="C45" s="130" t="s">
        <v>817</v>
      </c>
      <c r="D45" s="77" t="s">
        <v>797</v>
      </c>
      <c r="E45" s="77" t="s">
        <v>843</v>
      </c>
      <c r="F45" s="77" t="s">
        <v>844</v>
      </c>
      <c r="G45" s="77" t="s">
        <v>845</v>
      </c>
      <c r="H45" s="77" t="s">
        <v>846</v>
      </c>
      <c r="I45" s="1"/>
    </row>
    <row r="46" customFormat="false" ht="30" hidden="false" customHeight="true" outlineLevel="0" collapsed="false">
      <c r="A46" s="1"/>
      <c r="B46" s="77" t="s">
        <v>847</v>
      </c>
      <c r="C46" s="130" t="s">
        <v>817</v>
      </c>
      <c r="D46" s="77" t="s">
        <v>848</v>
      </c>
      <c r="E46" s="77" t="s">
        <v>849</v>
      </c>
      <c r="F46" s="77" t="s">
        <v>850</v>
      </c>
      <c r="G46" s="77" t="s">
        <v>851</v>
      </c>
      <c r="H46" s="77" t="s">
        <v>852</v>
      </c>
      <c r="I46" s="1"/>
    </row>
    <row r="47" customFormat="false" ht="30" hidden="false" customHeight="true" outlineLevel="0" collapsed="false">
      <c r="A47" s="1"/>
      <c r="B47" s="77" t="s">
        <v>853</v>
      </c>
      <c r="C47" s="130" t="s">
        <v>817</v>
      </c>
      <c r="D47" s="77" t="s">
        <v>854</v>
      </c>
      <c r="E47" s="77" t="s">
        <v>855</v>
      </c>
      <c r="F47" s="77" t="s">
        <v>856</v>
      </c>
      <c r="G47" s="77" t="s">
        <v>857</v>
      </c>
      <c r="H47" s="77" t="s">
        <v>858</v>
      </c>
      <c r="I47" s="1"/>
    </row>
    <row r="48" customFormat="false" ht="30" hidden="false" customHeight="true" outlineLevel="0" collapsed="false">
      <c r="A48" s="1"/>
      <c r="B48" s="77" t="s">
        <v>859</v>
      </c>
      <c r="C48" s="130" t="s">
        <v>817</v>
      </c>
      <c r="D48" s="77" t="s">
        <v>854</v>
      </c>
      <c r="E48" s="77" t="s">
        <v>603</v>
      </c>
      <c r="F48" s="77" t="s">
        <v>824</v>
      </c>
      <c r="G48" s="77" t="s">
        <v>857</v>
      </c>
      <c r="H48" s="77" t="s">
        <v>858</v>
      </c>
      <c r="I48" s="1"/>
    </row>
    <row r="49" customFormat="false" ht="30" hidden="false" customHeight="true" outlineLevel="0" collapsed="false">
      <c r="A49" s="1"/>
      <c r="B49" s="77" t="s">
        <v>860</v>
      </c>
      <c r="C49" s="130" t="s">
        <v>817</v>
      </c>
      <c r="D49" s="77" t="s">
        <v>861</v>
      </c>
      <c r="E49" s="77" t="s">
        <v>862</v>
      </c>
      <c r="F49" s="77" t="s">
        <v>863</v>
      </c>
      <c r="G49" s="77" t="s">
        <v>864</v>
      </c>
      <c r="H49" s="77" t="s">
        <v>865</v>
      </c>
      <c r="I49" s="1"/>
    </row>
    <row r="50" customFormat="false" ht="30" hidden="false" customHeight="true" outlineLevel="0" collapsed="false">
      <c r="A50" s="1"/>
      <c r="B50" s="77" t="s">
        <v>866</v>
      </c>
      <c r="C50" s="130" t="s">
        <v>817</v>
      </c>
      <c r="D50" s="77" t="s">
        <v>867</v>
      </c>
      <c r="E50" s="77" t="s">
        <v>868</v>
      </c>
      <c r="F50" s="77" t="s">
        <v>869</v>
      </c>
      <c r="G50" s="77" t="s">
        <v>870</v>
      </c>
      <c r="H50" s="77" t="s">
        <v>871</v>
      </c>
      <c r="I50" s="1"/>
    </row>
    <row r="51" customFormat="false" ht="30" hidden="false" customHeight="true" outlineLevel="0" collapsed="false">
      <c r="A51" s="1"/>
      <c r="B51" s="77" t="s">
        <v>872</v>
      </c>
      <c r="C51" s="130" t="s">
        <v>817</v>
      </c>
      <c r="D51" s="77" t="s">
        <v>873</v>
      </c>
      <c r="E51" s="77" t="s">
        <v>874</v>
      </c>
      <c r="F51" s="77" t="s">
        <v>875</v>
      </c>
      <c r="G51" s="77" t="s">
        <v>873</v>
      </c>
      <c r="H51" s="77" t="s">
        <v>876</v>
      </c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26" t="s">
        <v>877</v>
      </c>
      <c r="C54" s="126"/>
      <c r="D54" s="126"/>
      <c r="E54" s="126"/>
      <c r="F54" s="126"/>
      <c r="G54" s="126"/>
      <c r="H54" s="126"/>
      <c r="I54" s="1"/>
    </row>
    <row r="55" customFormat="false" ht="30" hidden="false" customHeight="true" outlineLevel="0" collapsed="false">
      <c r="A55" s="1"/>
      <c r="B55" s="131" t="s">
        <v>89</v>
      </c>
      <c r="C55" s="132" t="s">
        <v>103</v>
      </c>
      <c r="D55" s="77" t="s">
        <v>878</v>
      </c>
      <c r="E55" s="77"/>
      <c r="F55" s="77"/>
      <c r="G55" s="77"/>
      <c r="H55" s="77"/>
      <c r="I55" s="1"/>
    </row>
    <row r="56" customFormat="false" ht="30" hidden="false" customHeight="true" outlineLevel="0" collapsed="false">
      <c r="A56" s="1"/>
      <c r="B56" s="131" t="s">
        <v>89</v>
      </c>
      <c r="C56" s="132" t="s">
        <v>879</v>
      </c>
      <c r="D56" s="77" t="s">
        <v>880</v>
      </c>
      <c r="E56" s="77"/>
      <c r="F56" s="77"/>
      <c r="G56" s="77"/>
      <c r="H56" s="77"/>
      <c r="I56" s="1"/>
    </row>
    <row r="57" customFormat="false" ht="30" hidden="false" customHeight="true" outlineLevel="0" collapsed="false">
      <c r="A57" s="1"/>
      <c r="B57" s="131" t="s">
        <v>89</v>
      </c>
      <c r="C57" s="132" t="s">
        <v>881</v>
      </c>
      <c r="D57" s="77" t="s">
        <v>882</v>
      </c>
      <c r="E57" s="77"/>
      <c r="F57" s="77"/>
      <c r="G57" s="77"/>
      <c r="H57" s="77"/>
      <c r="I57" s="1"/>
    </row>
    <row r="58" customFormat="false" ht="30" hidden="false" customHeight="true" outlineLevel="0" collapsed="false">
      <c r="A58" s="1"/>
      <c r="B58" s="131" t="s">
        <v>89</v>
      </c>
      <c r="C58" s="132" t="s">
        <v>883</v>
      </c>
      <c r="D58" s="77" t="s">
        <v>884</v>
      </c>
      <c r="E58" s="77"/>
      <c r="F58" s="77"/>
      <c r="G58" s="77"/>
      <c r="H58" s="77"/>
      <c r="I58" s="1"/>
    </row>
    <row r="59" customFormat="false" ht="30" hidden="false" customHeight="true" outlineLevel="0" collapsed="false">
      <c r="A59" s="1"/>
      <c r="B59" s="131" t="s">
        <v>89</v>
      </c>
      <c r="C59" s="132" t="s">
        <v>885</v>
      </c>
      <c r="D59" s="77" t="s">
        <v>886</v>
      </c>
      <c r="E59" s="77"/>
      <c r="F59" s="77"/>
      <c r="G59" s="77"/>
      <c r="H59" s="77"/>
      <c r="I59" s="1"/>
    </row>
    <row r="60" customFormat="false" ht="30" hidden="false" customHeight="true" outlineLevel="0" collapsed="false">
      <c r="A60" s="1"/>
      <c r="B60" s="131" t="s">
        <v>89</v>
      </c>
      <c r="C60" s="132" t="s">
        <v>102</v>
      </c>
      <c r="D60" s="77" t="s">
        <v>887</v>
      </c>
      <c r="E60" s="77"/>
      <c r="F60" s="77"/>
      <c r="G60" s="77"/>
      <c r="H60" s="77"/>
      <c r="I60" s="1"/>
    </row>
    <row r="61" customFormat="false" ht="30" hidden="false" customHeight="true" outlineLevel="0" collapsed="false">
      <c r="A61" s="1"/>
      <c r="B61" s="131" t="s">
        <v>153</v>
      </c>
      <c r="C61" s="132" t="s">
        <v>888</v>
      </c>
      <c r="D61" s="77" t="s">
        <v>889</v>
      </c>
      <c r="E61" s="77"/>
      <c r="F61" s="77"/>
      <c r="G61" s="77"/>
      <c r="H61" s="77"/>
      <c r="I61" s="1"/>
    </row>
    <row r="62" customFormat="false" ht="30" hidden="false" customHeight="true" outlineLevel="0" collapsed="false">
      <c r="A62" s="1"/>
      <c r="B62" s="131" t="s">
        <v>890</v>
      </c>
      <c r="C62" s="132" t="s">
        <v>891</v>
      </c>
      <c r="D62" s="77" t="s">
        <v>892</v>
      </c>
      <c r="E62" s="77"/>
      <c r="F62" s="77"/>
      <c r="G62" s="77"/>
      <c r="H62" s="77"/>
      <c r="I62" s="1"/>
    </row>
    <row r="63" customFormat="false" ht="30" hidden="false" customHeight="true" outlineLevel="0" collapsed="false">
      <c r="A63" s="1"/>
      <c r="B63" s="131" t="s">
        <v>890</v>
      </c>
      <c r="C63" s="132" t="s">
        <v>893</v>
      </c>
      <c r="D63" s="77" t="s">
        <v>894</v>
      </c>
      <c r="E63" s="77"/>
      <c r="F63" s="77"/>
      <c r="G63" s="77"/>
      <c r="H63" s="77"/>
      <c r="I63" s="1"/>
    </row>
    <row r="64" customFormat="false" ht="30" hidden="false" customHeight="true" outlineLevel="0" collapsed="false">
      <c r="A64" s="1"/>
      <c r="B64" s="131" t="s">
        <v>890</v>
      </c>
      <c r="C64" s="132" t="s">
        <v>895</v>
      </c>
      <c r="D64" s="77" t="s">
        <v>896</v>
      </c>
      <c r="E64" s="77"/>
      <c r="F64" s="77"/>
      <c r="G64" s="77"/>
      <c r="H64" s="77"/>
      <c r="I64" s="1"/>
    </row>
    <row r="65" customFormat="false" ht="30" hidden="false" customHeight="true" outlineLevel="0" collapsed="false">
      <c r="A65" s="1"/>
      <c r="B65" s="131" t="s">
        <v>88</v>
      </c>
      <c r="C65" s="132" t="s">
        <v>897</v>
      </c>
      <c r="D65" s="77" t="s">
        <v>898</v>
      </c>
      <c r="E65" s="77"/>
      <c r="F65" s="77"/>
      <c r="G65" s="77"/>
      <c r="H65" s="77"/>
      <c r="I65" s="1"/>
    </row>
    <row r="66" customFormat="false" ht="30" hidden="false" customHeight="true" outlineLevel="0" collapsed="false">
      <c r="A66" s="1"/>
      <c r="B66" s="131" t="s">
        <v>90</v>
      </c>
      <c r="C66" s="132" t="s">
        <v>899</v>
      </c>
      <c r="D66" s="77" t="s">
        <v>900</v>
      </c>
      <c r="E66" s="77"/>
      <c r="F66" s="77"/>
      <c r="G66" s="77"/>
      <c r="H66" s="77"/>
      <c r="I66" s="1"/>
    </row>
    <row r="67" customFormat="false" ht="30" hidden="false" customHeight="true" outlineLevel="0" collapsed="false">
      <c r="A67" s="1"/>
      <c r="B67" s="131" t="s">
        <v>901</v>
      </c>
      <c r="C67" s="132" t="s">
        <v>902</v>
      </c>
      <c r="D67" s="77" t="s">
        <v>903</v>
      </c>
      <c r="E67" s="77"/>
      <c r="F67" s="77"/>
      <c r="G67" s="77"/>
      <c r="H67" s="77"/>
      <c r="I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</row>
    <row r="111" customFormat="false" ht="1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</row>
    <row r="113" customFormat="false" ht="1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</row>
    <row r="114" customFormat="false" ht="1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</row>
    <row r="115" customFormat="false" ht="1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</row>
  </sheetData>
  <autoFilter ref="B26:H51"/>
  <mergeCells count="34">
    <mergeCell ref="B2:F2"/>
    <mergeCell ref="B3:F3"/>
    <mergeCell ref="B4:C4"/>
    <mergeCell ref="B5:C5"/>
    <mergeCell ref="G5:H5"/>
    <mergeCell ref="B6:C6"/>
    <mergeCell ref="G6:H6"/>
    <mergeCell ref="B7:C7"/>
    <mergeCell ref="G7:H7"/>
    <mergeCell ref="B9:H9"/>
    <mergeCell ref="D11:E11"/>
    <mergeCell ref="D12:E12"/>
    <mergeCell ref="D13:E13"/>
    <mergeCell ref="D14:E14"/>
    <mergeCell ref="D15:E15"/>
    <mergeCell ref="D16:E16"/>
    <mergeCell ref="D17:E17"/>
    <mergeCell ref="D18:E18"/>
    <mergeCell ref="B24:H24"/>
    <mergeCell ref="B25:H25"/>
    <mergeCell ref="B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</mergeCells>
  <conditionalFormatting sqref="F11:F18">
    <cfRule type="cellIs" priority="2" operator="equal" aboveAverage="0" equalAverage="0" bottom="0" percent="0" rank="0" text="" dxfId="7">
      <formula>"Crítico"</formula>
    </cfRule>
    <cfRule type="cellIs" priority="3" operator="equal" aboveAverage="0" equalAverage="0" bottom="0" percent="0" rank="0" text="" dxfId="8">
      <formula>"Atenção"</formula>
    </cfRule>
    <cfRule type="cellIs" priority="4" operator="equal" aboveAverage="0" equalAverage="0" bottom="0" percent="0" rank="0" text="" dxfId="32">
      <formula>"Informativo"</formula>
    </cfRule>
    <cfRule type="cellIs" priority="5" operator="equal" aboveAverage="0" equalAverage="0" bottom="0" percent="0" rank="0" text="" dxfId="33">
      <formula>"OK"</formula>
    </cfRule>
  </conditionalFormatting>
  <conditionalFormatting sqref="C27:C51">
    <cfRule type="cellIs" priority="6" operator="equal" aboveAverage="0" equalAverage="0" bottom="0" percent="0" rank="0" text="" dxfId="7">
      <formula>"Crítico"</formula>
    </cfRule>
    <cfRule type="cellIs" priority="7" operator="equal" aboveAverage="0" equalAverage="0" bottom="0" percent="0" rank="0" text="" dxfId="8">
      <formula>"Atenção"</formula>
    </cfRule>
    <cfRule type="cellIs" priority="8" operator="equal" aboveAverage="0" equalAverage="0" bottom="0" percent="0" rank="0" text="" dxfId="32">
      <formula>"Informativo"</formula>
    </cfRule>
  </conditionalFormatting>
  <hyperlinks>
    <hyperlink ref="B4" location="'INÍCIO'!A1" display="⌂  Início"/>
    <hyperlink ref="D4" location="'DASHBOARD EXECUTIVO'!A1" display="▦  Dashboard"/>
    <hyperlink ref="E4" location="'PESQUISA'!A1" display="⌕  Pesquisa"/>
    <hyperlink ref="G4" location="'BASE CONSOLIDADA'!A1" display="☰  Base"/>
    <hyperlink ref="H4" location="'OUTROS CONTROLES'!A1" display="▤  Outr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85"/>
    <pageSetUpPr fitToPage="false"/>
  </sheetPr>
  <dimension ref="A1:M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133" width="24"/>
    <col collapsed="false" customWidth="true" hidden="false" outlineLevel="0" max="3" min="3" style="133" width="10"/>
    <col collapsed="false" customWidth="true" hidden="false" outlineLevel="0" max="4" min="4" style="133" width="16"/>
    <col collapsed="false" customWidth="true" hidden="false" outlineLevel="0" max="5" min="5" style="0" width="70"/>
    <col collapsed="false" customWidth="true" hidden="false" outlineLevel="0" max="6" min="6" style="133" width="17"/>
    <col collapsed="false" customWidth="true" hidden="false" outlineLevel="0" max="7" min="7" style="133" width="14"/>
    <col collapsed="false" customWidth="true" hidden="false" outlineLevel="0" max="8" min="8" style="133" width="10"/>
    <col collapsed="false" customWidth="true" hidden="false" outlineLevel="0" max="9" min="9" style="0" width="12.9"/>
    <col collapsed="false" customWidth="true" hidden="false" outlineLevel="0" max="10" min="10" style="0" width="37"/>
    <col collapsed="false" customWidth="true" hidden="false" outlineLevel="0" max="12" min="11" style="0" width="70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34"/>
      <c r="B1" s="135" t="s">
        <v>904</v>
      </c>
      <c r="C1" s="135"/>
      <c r="D1" s="135"/>
      <c r="E1" s="55" t="s">
        <v>64</v>
      </c>
      <c r="F1" s="55" t="s">
        <v>65</v>
      </c>
      <c r="G1" s="55" t="s">
        <v>66</v>
      </c>
      <c r="H1" s="136" t="str">
        <f aca="false">COUNTA($B$3:$B$63)&amp;" registros  ·  "&amp;COUNTIFS($F$3:$F$63,"Aprovado*",$G$3:$G$63,"&lt;"&amp;DataRef)&amp;" vencido(s)  ·  "&amp;COUNTIFS($F$3:$F$63,"Aprovado*",$G$3:$G$63,"&gt;="&amp;DataRef,$G$3:$G$63,"&lt;="&amp;EDATE(DataRef,12))&amp;" vencem em 12 meses"</f>
        <v>61 registros  ·  0 vencido(s)  ·  2 vencem em 12 meses</v>
      </c>
      <c r="I1" s="136"/>
      <c r="J1" s="136"/>
      <c r="K1" s="136"/>
      <c r="L1" s="136"/>
      <c r="M1" s="136"/>
    </row>
    <row r="2" s="138" customFormat="true" ht="31.5" hidden="false" customHeight="true" outlineLevel="0" collapsed="false">
      <c r="A2" s="105" t="s">
        <v>905</v>
      </c>
      <c r="B2" s="105" t="s">
        <v>906</v>
      </c>
      <c r="C2" s="105" t="s">
        <v>132</v>
      </c>
      <c r="D2" s="105" t="s">
        <v>140</v>
      </c>
      <c r="E2" s="105" t="s">
        <v>87</v>
      </c>
      <c r="F2" s="105" t="s">
        <v>907</v>
      </c>
      <c r="G2" s="105" t="s">
        <v>134</v>
      </c>
      <c r="H2" s="105" t="s">
        <v>88</v>
      </c>
      <c r="I2" s="105" t="s">
        <v>142</v>
      </c>
      <c r="J2" s="105" t="s">
        <v>908</v>
      </c>
      <c r="K2" s="105" t="s">
        <v>143</v>
      </c>
      <c r="L2" s="105" t="s">
        <v>144</v>
      </c>
      <c r="M2" s="137"/>
    </row>
    <row r="3" customFormat="false" ht="21" hidden="false" customHeight="true" outlineLevel="0" collapsed="false">
      <c r="A3" s="139" t="s">
        <v>909</v>
      </c>
      <c r="B3" s="140" t="s">
        <v>158</v>
      </c>
      <c r="C3" s="141" t="s">
        <v>159</v>
      </c>
      <c r="D3" s="139" t="s">
        <v>160</v>
      </c>
      <c r="E3" s="139" t="s">
        <v>161</v>
      </c>
      <c r="F3" s="139" t="s">
        <v>162</v>
      </c>
      <c r="G3" s="142" t="n">
        <v>46689</v>
      </c>
      <c r="H3" s="141" t="s">
        <v>36</v>
      </c>
      <c r="I3" s="141"/>
      <c r="J3" s="139" t="s">
        <v>163</v>
      </c>
      <c r="K3" s="139" t="s">
        <v>164</v>
      </c>
      <c r="L3" s="141"/>
      <c r="M3" s="143"/>
    </row>
    <row r="4" customFormat="false" ht="21" hidden="false" customHeight="true" outlineLevel="0" collapsed="false">
      <c r="A4" s="144" t="s">
        <v>909</v>
      </c>
      <c r="B4" s="145" t="s">
        <v>166</v>
      </c>
      <c r="C4" s="146" t="s">
        <v>159</v>
      </c>
      <c r="D4" s="144" t="s">
        <v>167</v>
      </c>
      <c r="E4" s="144" t="s">
        <v>168</v>
      </c>
      <c r="F4" s="144" t="s">
        <v>162</v>
      </c>
      <c r="G4" s="147" t="n">
        <v>48008</v>
      </c>
      <c r="H4" s="146" t="s">
        <v>36</v>
      </c>
      <c r="I4" s="146"/>
      <c r="J4" s="144" t="s">
        <v>169</v>
      </c>
      <c r="K4" s="146"/>
      <c r="L4" s="146"/>
      <c r="M4" s="148"/>
    </row>
    <row r="5" customFormat="false" ht="21" hidden="false" customHeight="true" outlineLevel="0" collapsed="false">
      <c r="A5" s="139" t="s">
        <v>909</v>
      </c>
      <c r="B5" s="140" t="s">
        <v>171</v>
      </c>
      <c r="C5" s="141" t="s">
        <v>159</v>
      </c>
      <c r="D5" s="139" t="s">
        <v>172</v>
      </c>
      <c r="E5" s="139" t="s">
        <v>173</v>
      </c>
      <c r="F5" s="139" t="s">
        <v>162</v>
      </c>
      <c r="G5" s="142" t="n">
        <v>46846</v>
      </c>
      <c r="H5" s="141" t="s">
        <v>36</v>
      </c>
      <c r="I5" s="141"/>
      <c r="J5" s="139" t="s">
        <v>163</v>
      </c>
      <c r="K5" s="141"/>
      <c r="L5" s="141"/>
      <c r="M5" s="143"/>
    </row>
    <row r="6" customFormat="false" ht="21" hidden="false" customHeight="true" outlineLevel="0" collapsed="false">
      <c r="A6" s="144" t="s">
        <v>909</v>
      </c>
      <c r="B6" s="145" t="s">
        <v>175</v>
      </c>
      <c r="C6" s="146" t="s">
        <v>176</v>
      </c>
      <c r="D6" s="144" t="s">
        <v>177</v>
      </c>
      <c r="E6" s="144" t="s">
        <v>178</v>
      </c>
      <c r="F6" s="144" t="s">
        <v>162</v>
      </c>
      <c r="G6" s="147" t="n">
        <v>46846</v>
      </c>
      <c r="H6" s="146" t="s">
        <v>36</v>
      </c>
      <c r="I6" s="146"/>
      <c r="J6" s="144" t="s">
        <v>163</v>
      </c>
      <c r="K6" s="144" t="s">
        <v>179</v>
      </c>
      <c r="L6" s="146"/>
      <c r="M6" s="148"/>
    </row>
    <row r="7" customFormat="false" ht="21" hidden="false" customHeight="true" outlineLevel="0" collapsed="false">
      <c r="A7" s="139" t="s">
        <v>909</v>
      </c>
      <c r="B7" s="140" t="s">
        <v>181</v>
      </c>
      <c r="C7" s="141" t="s">
        <v>176</v>
      </c>
      <c r="D7" s="139" t="s">
        <v>182</v>
      </c>
      <c r="E7" s="139" t="s">
        <v>183</v>
      </c>
      <c r="F7" s="139" t="s">
        <v>162</v>
      </c>
      <c r="G7" s="142" t="n">
        <v>46730</v>
      </c>
      <c r="H7" s="141" t="s">
        <v>36</v>
      </c>
      <c r="I7" s="141"/>
      <c r="J7" s="139" t="s">
        <v>163</v>
      </c>
      <c r="K7" s="141"/>
      <c r="L7" s="141"/>
      <c r="M7" s="143"/>
    </row>
    <row r="8" customFormat="false" ht="21" hidden="false" customHeight="true" outlineLevel="0" collapsed="false">
      <c r="A8" s="144" t="s">
        <v>909</v>
      </c>
      <c r="B8" s="145" t="s">
        <v>185</v>
      </c>
      <c r="C8" s="146" t="s">
        <v>176</v>
      </c>
      <c r="D8" s="144" t="s">
        <v>186</v>
      </c>
      <c r="E8" s="144" t="s">
        <v>187</v>
      </c>
      <c r="F8" s="144" t="s">
        <v>162</v>
      </c>
      <c r="G8" s="147" t="n">
        <v>46689</v>
      </c>
      <c r="H8" s="146" t="s">
        <v>36</v>
      </c>
      <c r="I8" s="146"/>
      <c r="J8" s="144" t="s">
        <v>163</v>
      </c>
      <c r="K8" s="144" t="s">
        <v>188</v>
      </c>
      <c r="L8" s="146"/>
      <c r="M8" s="148"/>
    </row>
    <row r="9" customFormat="false" ht="21" hidden="false" customHeight="true" outlineLevel="0" collapsed="false">
      <c r="A9" s="139" t="s">
        <v>909</v>
      </c>
      <c r="B9" s="140" t="s">
        <v>190</v>
      </c>
      <c r="C9" s="141" t="s">
        <v>191</v>
      </c>
      <c r="D9" s="139" t="s">
        <v>192</v>
      </c>
      <c r="E9" s="139" t="s">
        <v>193</v>
      </c>
      <c r="F9" s="139" t="s">
        <v>162</v>
      </c>
      <c r="G9" s="142" t="n">
        <v>46846</v>
      </c>
      <c r="H9" s="141" t="s">
        <v>36</v>
      </c>
      <c r="I9" s="141"/>
      <c r="J9" s="139" t="s">
        <v>163</v>
      </c>
      <c r="K9" s="141"/>
      <c r="L9" s="141"/>
      <c r="M9" s="143"/>
    </row>
    <row r="10" customFormat="false" ht="21" hidden="false" customHeight="true" outlineLevel="0" collapsed="false">
      <c r="A10" s="144" t="s">
        <v>909</v>
      </c>
      <c r="B10" s="145" t="s">
        <v>195</v>
      </c>
      <c r="C10" s="146" t="s">
        <v>176</v>
      </c>
      <c r="D10" s="144" t="s">
        <v>196</v>
      </c>
      <c r="E10" s="144" t="s">
        <v>197</v>
      </c>
      <c r="F10" s="144" t="s">
        <v>162</v>
      </c>
      <c r="G10" s="147" t="n">
        <v>46731</v>
      </c>
      <c r="H10" s="146" t="s">
        <v>36</v>
      </c>
      <c r="I10" s="146"/>
      <c r="J10" s="144" t="s">
        <v>163</v>
      </c>
      <c r="K10" s="146"/>
      <c r="L10" s="146"/>
      <c r="M10" s="148"/>
    </row>
    <row r="11" customFormat="false" ht="21" hidden="false" customHeight="true" outlineLevel="0" collapsed="false">
      <c r="A11" s="139" t="s">
        <v>909</v>
      </c>
      <c r="B11" s="140" t="s">
        <v>199</v>
      </c>
      <c r="C11" s="141" t="s">
        <v>176</v>
      </c>
      <c r="D11" s="139" t="s">
        <v>200</v>
      </c>
      <c r="E11" s="139" t="s">
        <v>201</v>
      </c>
      <c r="F11" s="139" t="s">
        <v>162</v>
      </c>
      <c r="G11" s="142" t="n">
        <v>46731</v>
      </c>
      <c r="H11" s="141" t="s">
        <v>36</v>
      </c>
      <c r="I11" s="141"/>
      <c r="J11" s="139" t="s">
        <v>163</v>
      </c>
      <c r="K11" s="141"/>
      <c r="L11" s="141"/>
      <c r="M11" s="143"/>
    </row>
    <row r="12" customFormat="false" ht="21" hidden="false" customHeight="true" outlineLevel="0" collapsed="false">
      <c r="A12" s="144" t="s">
        <v>909</v>
      </c>
      <c r="B12" s="145" t="s">
        <v>203</v>
      </c>
      <c r="C12" s="146" t="s">
        <v>176</v>
      </c>
      <c r="D12" s="144" t="s">
        <v>204</v>
      </c>
      <c r="E12" s="144" t="s">
        <v>205</v>
      </c>
      <c r="F12" s="144" t="s">
        <v>162</v>
      </c>
      <c r="G12" s="147" t="n">
        <v>46846</v>
      </c>
      <c r="H12" s="146" t="s">
        <v>36</v>
      </c>
      <c r="I12" s="146"/>
      <c r="J12" s="144" t="s">
        <v>163</v>
      </c>
      <c r="K12" s="144" t="s">
        <v>206</v>
      </c>
      <c r="L12" s="146"/>
      <c r="M12" s="148"/>
    </row>
    <row r="13" customFormat="false" ht="21" hidden="false" customHeight="true" outlineLevel="0" collapsed="false">
      <c r="A13" s="139" t="s">
        <v>909</v>
      </c>
      <c r="B13" s="140" t="s">
        <v>208</v>
      </c>
      <c r="C13" s="141" t="s">
        <v>176</v>
      </c>
      <c r="D13" s="139" t="s">
        <v>209</v>
      </c>
      <c r="E13" s="139" t="s">
        <v>210</v>
      </c>
      <c r="F13" s="139" t="s">
        <v>162</v>
      </c>
      <c r="G13" s="142" t="n">
        <v>46689</v>
      </c>
      <c r="H13" s="141" t="s">
        <v>36</v>
      </c>
      <c r="I13" s="141"/>
      <c r="J13" s="139" t="s">
        <v>163</v>
      </c>
      <c r="K13" s="139" t="s">
        <v>211</v>
      </c>
      <c r="L13" s="141"/>
      <c r="M13" s="143"/>
    </row>
    <row r="14" customFormat="false" ht="21" hidden="false" customHeight="true" outlineLevel="0" collapsed="false">
      <c r="A14" s="144" t="s">
        <v>909</v>
      </c>
      <c r="B14" s="145" t="s">
        <v>213</v>
      </c>
      <c r="C14" s="146" t="s">
        <v>159</v>
      </c>
      <c r="D14" s="144" t="s">
        <v>214</v>
      </c>
      <c r="E14" s="144" t="s">
        <v>215</v>
      </c>
      <c r="F14" s="144" t="s">
        <v>162</v>
      </c>
      <c r="G14" s="147" t="n">
        <v>47917</v>
      </c>
      <c r="H14" s="146" t="s">
        <v>36</v>
      </c>
      <c r="I14" s="146"/>
      <c r="J14" s="144" t="s">
        <v>163</v>
      </c>
      <c r="K14" s="146"/>
      <c r="L14" s="146"/>
      <c r="M14" s="148"/>
    </row>
    <row r="15" customFormat="false" ht="21" hidden="false" customHeight="true" outlineLevel="0" collapsed="false">
      <c r="A15" s="139" t="s">
        <v>909</v>
      </c>
      <c r="B15" s="140" t="s">
        <v>217</v>
      </c>
      <c r="C15" s="141" t="s">
        <v>191</v>
      </c>
      <c r="D15" s="139" t="s">
        <v>218</v>
      </c>
      <c r="E15" s="139" t="s">
        <v>219</v>
      </c>
      <c r="F15" s="139" t="s">
        <v>162</v>
      </c>
      <c r="G15" s="142" t="n">
        <v>46907</v>
      </c>
      <c r="H15" s="141" t="s">
        <v>36</v>
      </c>
      <c r="I15" s="141"/>
      <c r="J15" s="139" t="s">
        <v>163</v>
      </c>
      <c r="K15" s="141"/>
      <c r="L15" s="141"/>
      <c r="M15" s="143"/>
    </row>
    <row r="16" customFormat="false" ht="21" hidden="false" customHeight="true" outlineLevel="0" collapsed="false">
      <c r="A16" s="144" t="s">
        <v>909</v>
      </c>
      <c r="B16" s="145" t="s">
        <v>221</v>
      </c>
      <c r="C16" s="146" t="s">
        <v>222</v>
      </c>
      <c r="D16" s="144" t="s">
        <v>223</v>
      </c>
      <c r="E16" s="144" t="s">
        <v>224</v>
      </c>
      <c r="F16" s="144" t="s">
        <v>225</v>
      </c>
      <c r="G16" s="149"/>
      <c r="H16" s="146" t="s">
        <v>36</v>
      </c>
      <c r="I16" s="146"/>
      <c r="J16" s="144" t="s">
        <v>226</v>
      </c>
      <c r="K16" s="144" t="s">
        <v>227</v>
      </c>
      <c r="L16" s="146"/>
      <c r="M16" s="148"/>
    </row>
    <row r="17" customFormat="false" ht="21" hidden="false" customHeight="true" outlineLevel="0" collapsed="false">
      <c r="A17" s="139" t="s">
        <v>909</v>
      </c>
      <c r="B17" s="140" t="s">
        <v>229</v>
      </c>
      <c r="C17" s="141" t="s">
        <v>176</v>
      </c>
      <c r="D17" s="139" t="s">
        <v>230</v>
      </c>
      <c r="E17" s="139" t="s">
        <v>231</v>
      </c>
      <c r="F17" s="139" t="s">
        <v>162</v>
      </c>
      <c r="G17" s="142" t="n">
        <v>46689</v>
      </c>
      <c r="H17" s="141" t="s">
        <v>36</v>
      </c>
      <c r="I17" s="141"/>
      <c r="J17" s="139" t="s">
        <v>163</v>
      </c>
      <c r="K17" s="139" t="s">
        <v>232</v>
      </c>
      <c r="L17" s="141"/>
      <c r="M17" s="143"/>
    </row>
    <row r="18" customFormat="false" ht="21" hidden="false" customHeight="true" outlineLevel="0" collapsed="false">
      <c r="A18" s="144" t="s">
        <v>909</v>
      </c>
      <c r="B18" s="145" t="s">
        <v>234</v>
      </c>
      <c r="C18" s="146" t="s">
        <v>235</v>
      </c>
      <c r="D18" s="144" t="s">
        <v>236</v>
      </c>
      <c r="E18" s="144" t="s">
        <v>237</v>
      </c>
      <c r="F18" s="144" t="s">
        <v>162</v>
      </c>
      <c r="G18" s="147" t="n">
        <v>46846</v>
      </c>
      <c r="H18" s="146" t="s">
        <v>36</v>
      </c>
      <c r="I18" s="146"/>
      <c r="J18" s="144" t="s">
        <v>163</v>
      </c>
      <c r="K18" s="144" t="s">
        <v>238</v>
      </c>
      <c r="L18" s="146"/>
      <c r="M18" s="148"/>
    </row>
    <row r="19" customFormat="false" ht="21" hidden="false" customHeight="true" outlineLevel="0" collapsed="false">
      <c r="A19" s="139" t="s">
        <v>909</v>
      </c>
      <c r="B19" s="140" t="s">
        <v>240</v>
      </c>
      <c r="C19" s="141" t="s">
        <v>191</v>
      </c>
      <c r="D19" s="139" t="s">
        <v>241</v>
      </c>
      <c r="E19" s="139" t="s">
        <v>242</v>
      </c>
      <c r="F19" s="139" t="s">
        <v>162</v>
      </c>
      <c r="G19" s="142" t="n">
        <v>47974</v>
      </c>
      <c r="H19" s="141" t="s">
        <v>36</v>
      </c>
      <c r="I19" s="141"/>
      <c r="J19" s="139" t="s">
        <v>163</v>
      </c>
      <c r="K19" s="141"/>
      <c r="L19" s="141"/>
      <c r="M19" s="143"/>
    </row>
    <row r="20" customFormat="false" ht="21" hidden="false" customHeight="true" outlineLevel="0" collapsed="false">
      <c r="A20" s="144" t="s">
        <v>909</v>
      </c>
      <c r="B20" s="145" t="s">
        <v>244</v>
      </c>
      <c r="C20" s="146" t="s">
        <v>176</v>
      </c>
      <c r="D20" s="144" t="s">
        <v>245</v>
      </c>
      <c r="E20" s="144" t="s">
        <v>246</v>
      </c>
      <c r="F20" s="144" t="s">
        <v>162</v>
      </c>
      <c r="G20" s="147" t="n">
        <v>48008</v>
      </c>
      <c r="H20" s="146" t="s">
        <v>36</v>
      </c>
      <c r="I20" s="146"/>
      <c r="J20" s="144" t="s">
        <v>169</v>
      </c>
      <c r="K20" s="144" t="s">
        <v>247</v>
      </c>
      <c r="L20" s="146"/>
      <c r="M20" s="148"/>
    </row>
    <row r="21" customFormat="false" ht="21" hidden="false" customHeight="true" outlineLevel="0" collapsed="false">
      <c r="A21" s="139" t="s">
        <v>909</v>
      </c>
      <c r="B21" s="140" t="s">
        <v>249</v>
      </c>
      <c r="C21" s="141" t="s">
        <v>250</v>
      </c>
      <c r="D21" s="139" t="s">
        <v>251</v>
      </c>
      <c r="E21" s="139" t="s">
        <v>252</v>
      </c>
      <c r="F21" s="139" t="s">
        <v>253</v>
      </c>
      <c r="G21" s="142" t="n">
        <v>45706</v>
      </c>
      <c r="H21" s="141" t="s">
        <v>36</v>
      </c>
      <c r="I21" s="141"/>
      <c r="J21" s="139" t="s">
        <v>163</v>
      </c>
      <c r="K21" s="141"/>
      <c r="L21" s="141"/>
      <c r="M21" s="143"/>
    </row>
    <row r="22" customFormat="false" ht="21" hidden="false" customHeight="true" outlineLevel="0" collapsed="false">
      <c r="A22" s="144" t="s">
        <v>909</v>
      </c>
      <c r="B22" s="145" t="s">
        <v>255</v>
      </c>
      <c r="C22" s="146" t="s">
        <v>159</v>
      </c>
      <c r="D22" s="144" t="s">
        <v>256</v>
      </c>
      <c r="E22" s="144" t="s">
        <v>257</v>
      </c>
      <c r="F22" s="144" t="s">
        <v>162</v>
      </c>
      <c r="G22" s="147" t="n">
        <v>48104</v>
      </c>
      <c r="H22" s="144" t="s">
        <v>111</v>
      </c>
      <c r="I22" s="146"/>
      <c r="J22" s="144" t="s">
        <v>258</v>
      </c>
      <c r="K22" s="146"/>
      <c r="L22" s="146"/>
      <c r="M22" s="148"/>
    </row>
    <row r="23" customFormat="false" ht="21" hidden="false" customHeight="true" outlineLevel="0" collapsed="false">
      <c r="A23" s="139" t="s">
        <v>909</v>
      </c>
      <c r="B23" s="140" t="s">
        <v>260</v>
      </c>
      <c r="C23" s="141" t="s">
        <v>176</v>
      </c>
      <c r="D23" s="139" t="s">
        <v>261</v>
      </c>
      <c r="E23" s="139" t="s">
        <v>262</v>
      </c>
      <c r="F23" s="139" t="s">
        <v>162</v>
      </c>
      <c r="G23" s="142" t="n">
        <v>46731</v>
      </c>
      <c r="H23" s="141" t="s">
        <v>36</v>
      </c>
      <c r="I23" s="141"/>
      <c r="J23" s="139" t="s">
        <v>163</v>
      </c>
      <c r="K23" s="141"/>
      <c r="L23" s="141"/>
      <c r="M23" s="143"/>
    </row>
    <row r="24" customFormat="false" ht="21" hidden="false" customHeight="true" outlineLevel="0" collapsed="false">
      <c r="A24" s="144" t="s">
        <v>909</v>
      </c>
      <c r="B24" s="145" t="s">
        <v>264</v>
      </c>
      <c r="C24" s="146" t="s">
        <v>191</v>
      </c>
      <c r="D24" s="144" t="s">
        <v>265</v>
      </c>
      <c r="E24" s="144" t="s">
        <v>266</v>
      </c>
      <c r="F24" s="144" t="s">
        <v>162</v>
      </c>
      <c r="G24" s="147" t="n">
        <v>48014</v>
      </c>
      <c r="H24" s="146" t="s">
        <v>36</v>
      </c>
      <c r="I24" s="146"/>
      <c r="J24" s="144" t="s">
        <v>169</v>
      </c>
      <c r="K24" s="146"/>
      <c r="L24" s="146"/>
      <c r="M24" s="148"/>
    </row>
    <row r="25" customFormat="false" ht="21" hidden="false" customHeight="true" outlineLevel="0" collapsed="false">
      <c r="A25" s="139" t="s">
        <v>909</v>
      </c>
      <c r="B25" s="140" t="s">
        <v>268</v>
      </c>
      <c r="C25" s="141" t="s">
        <v>176</v>
      </c>
      <c r="D25" s="139" t="s">
        <v>269</v>
      </c>
      <c r="E25" s="139" t="s">
        <v>270</v>
      </c>
      <c r="F25" s="139" t="s">
        <v>162</v>
      </c>
      <c r="G25" s="142" t="n">
        <v>46731</v>
      </c>
      <c r="H25" s="141" t="s">
        <v>36</v>
      </c>
      <c r="I25" s="141"/>
      <c r="J25" s="139" t="s">
        <v>163</v>
      </c>
      <c r="K25" s="141"/>
      <c r="L25" s="141"/>
      <c r="M25" s="143"/>
    </row>
    <row r="26" customFormat="false" ht="21" hidden="false" customHeight="true" outlineLevel="0" collapsed="false">
      <c r="A26" s="144" t="s">
        <v>909</v>
      </c>
      <c r="B26" s="145" t="s">
        <v>272</v>
      </c>
      <c r="C26" s="146" t="s">
        <v>176</v>
      </c>
      <c r="D26" s="144" t="s">
        <v>273</v>
      </c>
      <c r="E26" s="144" t="s">
        <v>274</v>
      </c>
      <c r="F26" s="144" t="s">
        <v>162</v>
      </c>
      <c r="G26" s="147" t="n">
        <v>48106</v>
      </c>
      <c r="H26" s="146" t="s">
        <v>36</v>
      </c>
      <c r="I26" s="146"/>
      <c r="J26" s="144" t="s">
        <v>169</v>
      </c>
      <c r="K26" s="146"/>
      <c r="L26" s="146"/>
      <c r="M26" s="148"/>
    </row>
    <row r="27" customFormat="false" ht="21" hidden="false" customHeight="true" outlineLevel="0" collapsed="false">
      <c r="A27" s="139" t="s">
        <v>909</v>
      </c>
      <c r="B27" s="140" t="s">
        <v>276</v>
      </c>
      <c r="C27" s="141" t="s">
        <v>159</v>
      </c>
      <c r="D27" s="139" t="s">
        <v>277</v>
      </c>
      <c r="E27" s="139" t="s">
        <v>278</v>
      </c>
      <c r="F27" s="139" t="s">
        <v>162</v>
      </c>
      <c r="G27" s="142" t="n">
        <v>46907</v>
      </c>
      <c r="H27" s="141" t="s">
        <v>36</v>
      </c>
      <c r="I27" s="141"/>
      <c r="J27" s="139" t="s">
        <v>163</v>
      </c>
      <c r="K27" s="139" t="s">
        <v>279</v>
      </c>
      <c r="L27" s="141"/>
      <c r="M27" s="143"/>
    </row>
    <row r="28" customFormat="false" ht="21" hidden="false" customHeight="true" outlineLevel="0" collapsed="false">
      <c r="A28" s="144" t="s">
        <v>909</v>
      </c>
      <c r="B28" s="145" t="s">
        <v>281</v>
      </c>
      <c r="C28" s="146" t="s">
        <v>176</v>
      </c>
      <c r="D28" s="144" t="s">
        <v>282</v>
      </c>
      <c r="E28" s="144" t="s">
        <v>283</v>
      </c>
      <c r="F28" s="144" t="s">
        <v>162</v>
      </c>
      <c r="G28" s="147" t="n">
        <v>48008</v>
      </c>
      <c r="H28" s="144" t="s">
        <v>111</v>
      </c>
      <c r="I28" s="146"/>
      <c r="J28" s="144" t="s">
        <v>284</v>
      </c>
      <c r="K28" s="146"/>
      <c r="L28" s="146"/>
      <c r="M28" s="148"/>
    </row>
    <row r="29" customFormat="false" ht="21" hidden="false" customHeight="true" outlineLevel="0" collapsed="false">
      <c r="A29" s="139" t="s">
        <v>909</v>
      </c>
      <c r="B29" s="140" t="s">
        <v>286</v>
      </c>
      <c r="C29" s="141" t="s">
        <v>250</v>
      </c>
      <c r="D29" s="139" t="s">
        <v>287</v>
      </c>
      <c r="E29" s="139" t="s">
        <v>288</v>
      </c>
      <c r="F29" s="139" t="s">
        <v>289</v>
      </c>
      <c r="G29" s="142" t="n">
        <v>45709</v>
      </c>
      <c r="H29" s="141" t="s">
        <v>36</v>
      </c>
      <c r="I29" s="141"/>
      <c r="J29" s="139" t="s">
        <v>163</v>
      </c>
      <c r="K29" s="139" t="s">
        <v>290</v>
      </c>
      <c r="L29" s="139" t="s">
        <v>291</v>
      </c>
      <c r="M29" s="143"/>
    </row>
    <row r="30" customFormat="false" ht="21" hidden="false" customHeight="true" outlineLevel="0" collapsed="false">
      <c r="A30" s="144" t="s">
        <v>909</v>
      </c>
      <c r="B30" s="145" t="s">
        <v>293</v>
      </c>
      <c r="C30" s="146" t="s">
        <v>176</v>
      </c>
      <c r="D30" s="144" t="s">
        <v>294</v>
      </c>
      <c r="E30" s="144" t="s">
        <v>295</v>
      </c>
      <c r="F30" s="144" t="s">
        <v>162</v>
      </c>
      <c r="G30" s="147" t="n">
        <v>48008</v>
      </c>
      <c r="H30" s="146" t="s">
        <v>36</v>
      </c>
      <c r="I30" s="146"/>
      <c r="J30" s="144" t="s">
        <v>169</v>
      </c>
      <c r="K30" s="146"/>
      <c r="L30" s="146"/>
      <c r="M30" s="148"/>
    </row>
    <row r="31" customFormat="false" ht="21" hidden="false" customHeight="true" outlineLevel="0" collapsed="false">
      <c r="A31" s="139" t="s">
        <v>909</v>
      </c>
      <c r="B31" s="140" t="s">
        <v>297</v>
      </c>
      <c r="C31" s="141" t="s">
        <v>250</v>
      </c>
      <c r="D31" s="139" t="s">
        <v>298</v>
      </c>
      <c r="E31" s="139" t="s">
        <v>299</v>
      </c>
      <c r="F31" s="139" t="s">
        <v>162</v>
      </c>
      <c r="G31" s="142" t="n">
        <v>48106</v>
      </c>
      <c r="H31" s="141" t="s">
        <v>36</v>
      </c>
      <c r="I31" s="141"/>
      <c r="J31" s="139" t="s">
        <v>169</v>
      </c>
      <c r="K31" s="141"/>
      <c r="L31" s="141"/>
      <c r="M31" s="143"/>
    </row>
    <row r="32" customFormat="false" ht="21" hidden="false" customHeight="true" outlineLevel="0" collapsed="false">
      <c r="A32" s="144" t="s">
        <v>909</v>
      </c>
      <c r="B32" s="145" t="s">
        <v>301</v>
      </c>
      <c r="C32" s="146" t="s">
        <v>302</v>
      </c>
      <c r="D32" s="144" t="s">
        <v>303</v>
      </c>
      <c r="E32" s="144" t="s">
        <v>304</v>
      </c>
      <c r="F32" s="144" t="s">
        <v>162</v>
      </c>
      <c r="G32" s="147" t="n">
        <v>48008</v>
      </c>
      <c r="H32" s="146" t="s">
        <v>36</v>
      </c>
      <c r="I32" s="146"/>
      <c r="J32" s="144" t="s">
        <v>163</v>
      </c>
      <c r="K32" s="146"/>
      <c r="L32" s="146"/>
      <c r="M32" s="148"/>
    </row>
    <row r="33" customFormat="false" ht="21" hidden="false" customHeight="true" outlineLevel="0" collapsed="false">
      <c r="A33" s="139" t="s">
        <v>909</v>
      </c>
      <c r="B33" s="140" t="s">
        <v>306</v>
      </c>
      <c r="C33" s="141" t="s">
        <v>159</v>
      </c>
      <c r="D33" s="139" t="s">
        <v>307</v>
      </c>
      <c r="E33" s="139" t="s">
        <v>308</v>
      </c>
      <c r="F33" s="139" t="s">
        <v>162</v>
      </c>
      <c r="G33" s="142" t="n">
        <v>48031</v>
      </c>
      <c r="H33" s="141" t="s">
        <v>36</v>
      </c>
      <c r="I33" s="139" t="s">
        <v>309</v>
      </c>
      <c r="J33" s="139" t="s">
        <v>310</v>
      </c>
      <c r="K33" s="141"/>
      <c r="L33" s="141"/>
      <c r="M33" s="143"/>
    </row>
    <row r="34" customFormat="false" ht="21" hidden="false" customHeight="true" outlineLevel="0" collapsed="false">
      <c r="A34" s="144" t="s">
        <v>909</v>
      </c>
      <c r="B34" s="145" t="s">
        <v>312</v>
      </c>
      <c r="C34" s="146" t="s">
        <v>176</v>
      </c>
      <c r="D34" s="144" t="s">
        <v>313</v>
      </c>
      <c r="E34" s="144" t="s">
        <v>314</v>
      </c>
      <c r="F34" s="144" t="s">
        <v>162</v>
      </c>
      <c r="G34" s="147" t="n">
        <v>48008</v>
      </c>
      <c r="H34" s="146" t="s">
        <v>36</v>
      </c>
      <c r="I34" s="146"/>
      <c r="J34" s="144" t="s">
        <v>163</v>
      </c>
      <c r="K34" s="146"/>
      <c r="L34" s="146"/>
      <c r="M34" s="148"/>
    </row>
    <row r="35" customFormat="false" ht="21" hidden="false" customHeight="true" outlineLevel="0" collapsed="false">
      <c r="A35" s="139" t="s">
        <v>909</v>
      </c>
      <c r="B35" s="140" t="s">
        <v>316</v>
      </c>
      <c r="C35" s="141" t="s">
        <v>176</v>
      </c>
      <c r="D35" s="139" t="s">
        <v>317</v>
      </c>
      <c r="E35" s="139" t="s">
        <v>318</v>
      </c>
      <c r="F35" s="139" t="s">
        <v>162</v>
      </c>
      <c r="G35" s="142" t="n">
        <v>48104</v>
      </c>
      <c r="H35" s="141" t="s">
        <v>36</v>
      </c>
      <c r="I35" s="141"/>
      <c r="J35" s="139" t="s">
        <v>169</v>
      </c>
      <c r="K35" s="141"/>
      <c r="L35" s="141"/>
      <c r="M35" s="143"/>
    </row>
    <row r="36" customFormat="false" ht="21" hidden="false" customHeight="true" outlineLevel="0" collapsed="false">
      <c r="A36" s="144" t="s">
        <v>909</v>
      </c>
      <c r="B36" s="145" t="s">
        <v>320</v>
      </c>
      <c r="C36" s="146" t="s">
        <v>176</v>
      </c>
      <c r="D36" s="144" t="s">
        <v>321</v>
      </c>
      <c r="E36" s="144" t="s">
        <v>322</v>
      </c>
      <c r="F36" s="144" t="s">
        <v>162</v>
      </c>
      <c r="G36" s="147" t="n">
        <v>46914</v>
      </c>
      <c r="H36" s="146" t="s">
        <v>36</v>
      </c>
      <c r="I36" s="146"/>
      <c r="J36" s="144" t="s">
        <v>163</v>
      </c>
      <c r="K36" s="144" t="s">
        <v>323</v>
      </c>
      <c r="L36" s="146"/>
      <c r="M36" s="148"/>
    </row>
    <row r="37" customFormat="false" ht="21" hidden="false" customHeight="true" outlineLevel="0" collapsed="false">
      <c r="A37" s="139" t="s">
        <v>909</v>
      </c>
      <c r="B37" s="140" t="s">
        <v>325</v>
      </c>
      <c r="C37" s="141" t="s">
        <v>176</v>
      </c>
      <c r="D37" s="139" t="s">
        <v>326</v>
      </c>
      <c r="E37" s="139" t="s">
        <v>327</v>
      </c>
      <c r="F37" s="139" t="s">
        <v>162</v>
      </c>
      <c r="G37" s="142" t="n">
        <v>46846</v>
      </c>
      <c r="H37" s="141" t="s">
        <v>36</v>
      </c>
      <c r="I37" s="141"/>
      <c r="J37" s="139" t="s">
        <v>163</v>
      </c>
      <c r="K37" s="141"/>
      <c r="L37" s="141"/>
      <c r="M37" s="143"/>
    </row>
    <row r="38" customFormat="false" ht="21" hidden="false" customHeight="true" outlineLevel="0" collapsed="false">
      <c r="A38" s="144" t="s">
        <v>909</v>
      </c>
      <c r="B38" s="145" t="s">
        <v>329</v>
      </c>
      <c r="C38" s="146" t="s">
        <v>159</v>
      </c>
      <c r="D38" s="144" t="s">
        <v>330</v>
      </c>
      <c r="E38" s="144" t="s">
        <v>331</v>
      </c>
      <c r="F38" s="144" t="s">
        <v>162</v>
      </c>
      <c r="G38" s="147" t="n">
        <v>46914</v>
      </c>
      <c r="H38" s="146" t="s">
        <v>36</v>
      </c>
      <c r="I38" s="146"/>
      <c r="J38" s="144" t="s">
        <v>163</v>
      </c>
      <c r="K38" s="146"/>
      <c r="L38" s="146"/>
      <c r="M38" s="148"/>
    </row>
    <row r="39" customFormat="false" ht="21" hidden="false" customHeight="true" outlineLevel="0" collapsed="false">
      <c r="A39" s="139" t="s">
        <v>909</v>
      </c>
      <c r="B39" s="140" t="s">
        <v>333</v>
      </c>
      <c r="C39" s="141" t="s">
        <v>159</v>
      </c>
      <c r="D39" s="139" t="s">
        <v>334</v>
      </c>
      <c r="E39" s="139" t="s">
        <v>335</v>
      </c>
      <c r="F39" s="139" t="s">
        <v>162</v>
      </c>
      <c r="G39" s="142" t="n">
        <v>48008</v>
      </c>
      <c r="H39" s="141" t="s">
        <v>36</v>
      </c>
      <c r="I39" s="141"/>
      <c r="J39" s="139" t="s">
        <v>169</v>
      </c>
      <c r="K39" s="141"/>
      <c r="L39" s="141"/>
      <c r="M39" s="143"/>
    </row>
    <row r="40" customFormat="false" ht="21" hidden="false" customHeight="true" outlineLevel="0" collapsed="false">
      <c r="A40" s="144" t="s">
        <v>909</v>
      </c>
      <c r="B40" s="145" t="s">
        <v>337</v>
      </c>
      <c r="C40" s="146" t="s">
        <v>191</v>
      </c>
      <c r="D40" s="144" t="s">
        <v>338</v>
      </c>
      <c r="E40" s="144" t="s">
        <v>339</v>
      </c>
      <c r="F40" s="144" t="s">
        <v>162</v>
      </c>
      <c r="G40" s="147" t="n">
        <v>47917</v>
      </c>
      <c r="H40" s="146" t="s">
        <v>36</v>
      </c>
      <c r="I40" s="146"/>
      <c r="J40" s="144" t="s">
        <v>163</v>
      </c>
      <c r="K40" s="146"/>
      <c r="L40" s="146"/>
      <c r="M40" s="148"/>
    </row>
    <row r="41" customFormat="false" ht="21" hidden="false" customHeight="true" outlineLevel="0" collapsed="false">
      <c r="A41" s="139" t="s">
        <v>909</v>
      </c>
      <c r="B41" s="140" t="s">
        <v>341</v>
      </c>
      <c r="C41" s="141" t="s">
        <v>176</v>
      </c>
      <c r="D41" s="139" t="s">
        <v>342</v>
      </c>
      <c r="E41" s="139" t="s">
        <v>343</v>
      </c>
      <c r="F41" s="139" t="s">
        <v>162</v>
      </c>
      <c r="G41" s="142" t="n">
        <v>48008</v>
      </c>
      <c r="H41" s="141" t="s">
        <v>36</v>
      </c>
      <c r="I41" s="141"/>
      <c r="J41" s="139" t="s">
        <v>169</v>
      </c>
      <c r="K41" s="141"/>
      <c r="L41" s="141"/>
      <c r="M41" s="143"/>
    </row>
    <row r="42" customFormat="false" ht="21" hidden="false" customHeight="true" outlineLevel="0" collapsed="false">
      <c r="A42" s="144" t="s">
        <v>909</v>
      </c>
      <c r="B42" s="145" t="s">
        <v>345</v>
      </c>
      <c r="C42" s="146" t="s">
        <v>235</v>
      </c>
      <c r="D42" s="144" t="s">
        <v>346</v>
      </c>
      <c r="E42" s="144" t="s">
        <v>347</v>
      </c>
      <c r="F42" s="144" t="s">
        <v>162</v>
      </c>
      <c r="G42" s="147" t="n">
        <v>48008</v>
      </c>
      <c r="H42" s="146" t="s">
        <v>36</v>
      </c>
      <c r="I42" s="146"/>
      <c r="J42" s="144" t="s">
        <v>169</v>
      </c>
      <c r="K42" s="146"/>
      <c r="L42" s="146"/>
      <c r="M42" s="148"/>
    </row>
    <row r="43" customFormat="false" ht="21" hidden="false" customHeight="true" outlineLevel="0" collapsed="false">
      <c r="A43" s="139" t="s">
        <v>909</v>
      </c>
      <c r="B43" s="140" t="s">
        <v>349</v>
      </c>
      <c r="C43" s="141" t="s">
        <v>235</v>
      </c>
      <c r="D43" s="139" t="s">
        <v>350</v>
      </c>
      <c r="E43" s="139" t="s">
        <v>351</v>
      </c>
      <c r="F43" s="139" t="s">
        <v>162</v>
      </c>
      <c r="G43" s="142" t="n">
        <v>46846</v>
      </c>
      <c r="H43" s="141" t="s">
        <v>36</v>
      </c>
      <c r="I43" s="141"/>
      <c r="J43" s="139" t="s">
        <v>163</v>
      </c>
      <c r="K43" s="139" t="s">
        <v>910</v>
      </c>
      <c r="L43" s="141"/>
      <c r="M43" s="143"/>
    </row>
    <row r="44" customFormat="false" ht="21" hidden="false" customHeight="true" outlineLevel="0" collapsed="false">
      <c r="A44" s="144" t="s">
        <v>909</v>
      </c>
      <c r="B44" s="145" t="s">
        <v>354</v>
      </c>
      <c r="C44" s="146" t="s">
        <v>250</v>
      </c>
      <c r="D44" s="144" t="s">
        <v>355</v>
      </c>
      <c r="E44" s="144" t="s">
        <v>356</v>
      </c>
      <c r="F44" s="144" t="s">
        <v>162</v>
      </c>
      <c r="G44" s="147" t="n">
        <v>46689</v>
      </c>
      <c r="H44" s="144" t="s">
        <v>111</v>
      </c>
      <c r="I44" s="146"/>
      <c r="J44" s="144" t="s">
        <v>258</v>
      </c>
      <c r="K44" s="146"/>
      <c r="L44" s="146"/>
      <c r="M44" s="148"/>
    </row>
    <row r="45" customFormat="false" ht="21" hidden="false" customHeight="true" outlineLevel="0" collapsed="false">
      <c r="A45" s="139" t="s">
        <v>909</v>
      </c>
      <c r="B45" s="140" t="s">
        <v>358</v>
      </c>
      <c r="C45" s="141" t="s">
        <v>235</v>
      </c>
      <c r="D45" s="139" t="s">
        <v>359</v>
      </c>
      <c r="E45" s="139" t="s">
        <v>360</v>
      </c>
      <c r="F45" s="139" t="s">
        <v>361</v>
      </c>
      <c r="G45" s="142" t="n">
        <v>46506</v>
      </c>
      <c r="H45" s="141" t="s">
        <v>36</v>
      </c>
      <c r="I45" s="141"/>
      <c r="J45" s="139" t="s">
        <v>163</v>
      </c>
      <c r="K45" s="139" t="s">
        <v>362</v>
      </c>
      <c r="L45" s="141"/>
      <c r="M45" s="143"/>
    </row>
    <row r="46" customFormat="false" ht="21" hidden="false" customHeight="true" outlineLevel="0" collapsed="false">
      <c r="A46" s="144" t="s">
        <v>909</v>
      </c>
      <c r="B46" s="145" t="s">
        <v>364</v>
      </c>
      <c r="C46" s="146" t="s">
        <v>302</v>
      </c>
      <c r="D46" s="146" t="s">
        <v>365</v>
      </c>
      <c r="E46" s="144" t="s">
        <v>366</v>
      </c>
      <c r="F46" s="144" t="s">
        <v>162</v>
      </c>
      <c r="G46" s="147" t="n">
        <v>47974</v>
      </c>
      <c r="H46" s="146" t="s">
        <v>36</v>
      </c>
      <c r="I46" s="146"/>
      <c r="J46" s="144" t="s">
        <v>169</v>
      </c>
      <c r="K46" s="144" t="s">
        <v>367</v>
      </c>
      <c r="L46" s="146"/>
      <c r="M46" s="148"/>
    </row>
    <row r="47" customFormat="false" ht="21" hidden="false" customHeight="true" outlineLevel="0" collapsed="false">
      <c r="A47" s="139" t="s">
        <v>909</v>
      </c>
      <c r="B47" s="140" t="s">
        <v>369</v>
      </c>
      <c r="C47" s="141" t="s">
        <v>159</v>
      </c>
      <c r="D47" s="139" t="s">
        <v>370</v>
      </c>
      <c r="E47" s="139" t="s">
        <v>371</v>
      </c>
      <c r="F47" s="139" t="s">
        <v>162</v>
      </c>
      <c r="G47" s="142" t="n">
        <v>46689</v>
      </c>
      <c r="H47" s="141" t="s">
        <v>36</v>
      </c>
      <c r="I47" s="141"/>
      <c r="J47" s="139" t="s">
        <v>163</v>
      </c>
      <c r="K47" s="141"/>
      <c r="L47" s="141"/>
      <c r="M47" s="143"/>
    </row>
    <row r="48" customFormat="false" ht="21" hidden="false" customHeight="true" outlineLevel="0" collapsed="false">
      <c r="A48" s="144" t="s">
        <v>909</v>
      </c>
      <c r="B48" s="145" t="s">
        <v>911</v>
      </c>
      <c r="C48" s="146" t="s">
        <v>302</v>
      </c>
      <c r="D48" s="146" t="s">
        <v>365</v>
      </c>
      <c r="E48" s="144" t="s">
        <v>374</v>
      </c>
      <c r="F48" s="144" t="s">
        <v>162</v>
      </c>
      <c r="G48" s="147" t="n">
        <v>48093</v>
      </c>
      <c r="H48" s="146" t="s">
        <v>36</v>
      </c>
      <c r="I48" s="146"/>
      <c r="J48" s="144" t="s">
        <v>169</v>
      </c>
      <c r="K48" s="146"/>
      <c r="L48" s="146"/>
      <c r="M48" s="148"/>
    </row>
    <row r="49" customFormat="false" ht="21" hidden="false" customHeight="true" outlineLevel="0" collapsed="false">
      <c r="A49" s="139" t="s">
        <v>909</v>
      </c>
      <c r="B49" s="140" t="s">
        <v>376</v>
      </c>
      <c r="C49" s="141" t="s">
        <v>159</v>
      </c>
      <c r="D49" s="139" t="s">
        <v>377</v>
      </c>
      <c r="E49" s="139" t="s">
        <v>378</v>
      </c>
      <c r="F49" s="139" t="s">
        <v>162</v>
      </c>
      <c r="G49" s="142" t="n">
        <v>47785</v>
      </c>
      <c r="H49" s="141" t="s">
        <v>36</v>
      </c>
      <c r="I49" s="139" t="s">
        <v>309</v>
      </c>
      <c r="J49" s="139" t="s">
        <v>379</v>
      </c>
      <c r="K49" s="139" t="s">
        <v>380</v>
      </c>
      <c r="L49" s="141"/>
      <c r="M49" s="143"/>
    </row>
    <row r="50" customFormat="false" ht="21" hidden="false" customHeight="true" outlineLevel="0" collapsed="false">
      <c r="A50" s="144" t="s">
        <v>909</v>
      </c>
      <c r="B50" s="145" t="s">
        <v>382</v>
      </c>
      <c r="C50" s="146" t="s">
        <v>191</v>
      </c>
      <c r="D50" s="144" t="s">
        <v>383</v>
      </c>
      <c r="E50" s="144" t="s">
        <v>384</v>
      </c>
      <c r="F50" s="144" t="s">
        <v>162</v>
      </c>
      <c r="G50" s="147" t="n">
        <v>47864</v>
      </c>
      <c r="H50" s="146" t="s">
        <v>36</v>
      </c>
      <c r="I50" s="144" t="s">
        <v>309</v>
      </c>
      <c r="J50" s="144" t="s">
        <v>310</v>
      </c>
      <c r="K50" s="144" t="s">
        <v>385</v>
      </c>
      <c r="L50" s="146"/>
      <c r="M50" s="148"/>
    </row>
    <row r="51" customFormat="false" ht="21" hidden="false" customHeight="true" outlineLevel="0" collapsed="false">
      <c r="A51" s="139" t="s">
        <v>909</v>
      </c>
      <c r="B51" s="140" t="s">
        <v>387</v>
      </c>
      <c r="C51" s="141" t="s">
        <v>176</v>
      </c>
      <c r="D51" s="139" t="s">
        <v>388</v>
      </c>
      <c r="E51" s="139" t="s">
        <v>389</v>
      </c>
      <c r="F51" s="139" t="s">
        <v>390</v>
      </c>
      <c r="G51" s="142" t="n">
        <v>48074</v>
      </c>
      <c r="H51" s="141" t="s">
        <v>36</v>
      </c>
      <c r="I51" s="139" t="s">
        <v>309</v>
      </c>
      <c r="J51" s="139" t="s">
        <v>391</v>
      </c>
      <c r="K51" s="139" t="s">
        <v>392</v>
      </c>
      <c r="L51" s="141"/>
      <c r="M51" s="143"/>
    </row>
    <row r="52" customFormat="false" ht="21" hidden="false" customHeight="true" outlineLevel="0" collapsed="false">
      <c r="A52" s="144" t="s">
        <v>909</v>
      </c>
      <c r="B52" s="145" t="s">
        <v>394</v>
      </c>
      <c r="C52" s="146" t="s">
        <v>176</v>
      </c>
      <c r="D52" s="144" t="s">
        <v>395</v>
      </c>
      <c r="E52" s="144" t="s">
        <v>396</v>
      </c>
      <c r="F52" s="144" t="s">
        <v>162</v>
      </c>
      <c r="G52" s="147" t="n">
        <v>46754</v>
      </c>
      <c r="H52" s="146" t="s">
        <v>36</v>
      </c>
      <c r="I52" s="144" t="s">
        <v>309</v>
      </c>
      <c r="J52" s="144" t="s">
        <v>310</v>
      </c>
      <c r="K52" s="144" t="s">
        <v>397</v>
      </c>
      <c r="L52" s="146"/>
      <c r="M52" s="148"/>
    </row>
    <row r="53" customFormat="false" ht="21" hidden="false" customHeight="true" outlineLevel="0" collapsed="false">
      <c r="A53" s="139" t="s">
        <v>909</v>
      </c>
      <c r="B53" s="140" t="s">
        <v>399</v>
      </c>
      <c r="C53" s="141" t="s">
        <v>235</v>
      </c>
      <c r="D53" s="139" t="s">
        <v>400</v>
      </c>
      <c r="E53" s="139" t="s">
        <v>401</v>
      </c>
      <c r="F53" s="139" t="s">
        <v>162</v>
      </c>
      <c r="G53" s="142" t="n">
        <v>47982</v>
      </c>
      <c r="H53" s="141" t="s">
        <v>36</v>
      </c>
      <c r="I53" s="139" t="s">
        <v>309</v>
      </c>
      <c r="J53" s="139" t="s">
        <v>310</v>
      </c>
      <c r="K53" s="139" t="s">
        <v>402</v>
      </c>
      <c r="L53" s="141"/>
      <c r="M53" s="143"/>
    </row>
    <row r="54" customFormat="false" ht="21" hidden="false" customHeight="true" outlineLevel="0" collapsed="false">
      <c r="A54" s="144" t="s">
        <v>909</v>
      </c>
      <c r="B54" s="145" t="s">
        <v>404</v>
      </c>
      <c r="C54" s="146" t="s">
        <v>191</v>
      </c>
      <c r="D54" s="144" t="s">
        <v>405</v>
      </c>
      <c r="E54" s="144" t="s">
        <v>406</v>
      </c>
      <c r="F54" s="144" t="s">
        <v>162</v>
      </c>
      <c r="G54" s="147" t="n">
        <v>48032</v>
      </c>
      <c r="H54" s="146" t="s">
        <v>36</v>
      </c>
      <c r="I54" s="144" t="s">
        <v>309</v>
      </c>
      <c r="J54" s="144" t="s">
        <v>310</v>
      </c>
      <c r="K54" s="144" t="s">
        <v>407</v>
      </c>
      <c r="L54" s="146"/>
      <c r="M54" s="148"/>
    </row>
    <row r="55" customFormat="false" ht="21" hidden="false" customHeight="true" outlineLevel="0" collapsed="false">
      <c r="A55" s="139" t="s">
        <v>909</v>
      </c>
      <c r="B55" s="140" t="s">
        <v>409</v>
      </c>
      <c r="C55" s="141" t="s">
        <v>159</v>
      </c>
      <c r="D55" s="139" t="s">
        <v>410</v>
      </c>
      <c r="E55" s="139" t="s">
        <v>411</v>
      </c>
      <c r="F55" s="139" t="s">
        <v>162</v>
      </c>
      <c r="G55" s="142" t="n">
        <v>47937</v>
      </c>
      <c r="H55" s="141" t="s">
        <v>36</v>
      </c>
      <c r="I55" s="139" t="s">
        <v>309</v>
      </c>
      <c r="J55" s="139" t="s">
        <v>412</v>
      </c>
      <c r="K55" s="141"/>
      <c r="L55" s="141"/>
      <c r="M55" s="143"/>
    </row>
    <row r="56" customFormat="false" ht="21" hidden="false" customHeight="true" outlineLevel="0" collapsed="false">
      <c r="A56" s="144" t="s">
        <v>909</v>
      </c>
      <c r="B56" s="145" t="s">
        <v>414</v>
      </c>
      <c r="C56" s="146" t="s">
        <v>176</v>
      </c>
      <c r="D56" s="144" t="s">
        <v>415</v>
      </c>
      <c r="E56" s="144" t="s">
        <v>416</v>
      </c>
      <c r="F56" s="144" t="s">
        <v>162</v>
      </c>
      <c r="G56" s="147" t="n">
        <v>46461</v>
      </c>
      <c r="H56" s="146" t="s">
        <v>36</v>
      </c>
      <c r="I56" s="144" t="s">
        <v>309</v>
      </c>
      <c r="J56" s="144" t="s">
        <v>310</v>
      </c>
      <c r="K56" s="144" t="s">
        <v>417</v>
      </c>
      <c r="L56" s="146"/>
      <c r="M56" s="148"/>
    </row>
    <row r="57" customFormat="false" ht="21" hidden="false" customHeight="true" outlineLevel="0" collapsed="false">
      <c r="A57" s="139" t="s">
        <v>909</v>
      </c>
      <c r="B57" s="140" t="s">
        <v>419</v>
      </c>
      <c r="C57" s="141" t="s">
        <v>159</v>
      </c>
      <c r="D57" s="139" t="s">
        <v>420</v>
      </c>
      <c r="E57" s="139" t="s">
        <v>421</v>
      </c>
      <c r="F57" s="139" t="s">
        <v>162</v>
      </c>
      <c r="G57" s="142" t="n">
        <v>46886</v>
      </c>
      <c r="H57" s="141" t="s">
        <v>36</v>
      </c>
      <c r="I57" s="139" t="s">
        <v>309</v>
      </c>
      <c r="J57" s="139" t="s">
        <v>310</v>
      </c>
      <c r="K57" s="139" t="s">
        <v>422</v>
      </c>
      <c r="L57" s="141"/>
      <c r="M57" s="143"/>
    </row>
    <row r="58" customFormat="false" ht="21" hidden="false" customHeight="true" outlineLevel="0" collapsed="false">
      <c r="A58" s="144" t="s">
        <v>909</v>
      </c>
      <c r="B58" s="145" t="s">
        <v>424</v>
      </c>
      <c r="C58" s="146" t="s">
        <v>176</v>
      </c>
      <c r="D58" s="144" t="s">
        <v>425</v>
      </c>
      <c r="E58" s="144" t="s">
        <v>426</v>
      </c>
      <c r="F58" s="144" t="s">
        <v>162</v>
      </c>
      <c r="G58" s="147" t="n">
        <v>47688</v>
      </c>
      <c r="H58" s="146" t="s">
        <v>36</v>
      </c>
      <c r="I58" s="144" t="s">
        <v>309</v>
      </c>
      <c r="J58" s="144" t="s">
        <v>427</v>
      </c>
      <c r="K58" s="146"/>
      <c r="L58" s="146"/>
      <c r="M58" s="148"/>
    </row>
    <row r="59" customFormat="false" ht="21" hidden="false" customHeight="true" outlineLevel="0" collapsed="false">
      <c r="A59" s="139" t="s">
        <v>909</v>
      </c>
      <c r="B59" s="140" t="s">
        <v>429</v>
      </c>
      <c r="C59" s="141" t="s">
        <v>191</v>
      </c>
      <c r="D59" s="139" t="s">
        <v>430</v>
      </c>
      <c r="E59" s="139" t="s">
        <v>431</v>
      </c>
      <c r="F59" s="139" t="s">
        <v>162</v>
      </c>
      <c r="G59" s="142" t="n">
        <v>47864</v>
      </c>
      <c r="H59" s="141" t="s">
        <v>36</v>
      </c>
      <c r="I59" s="139" t="s">
        <v>309</v>
      </c>
      <c r="J59" s="139" t="s">
        <v>310</v>
      </c>
      <c r="K59" s="139" t="s">
        <v>432</v>
      </c>
      <c r="L59" s="141"/>
      <c r="M59" s="143"/>
    </row>
    <row r="60" customFormat="false" ht="21" hidden="false" customHeight="true" outlineLevel="0" collapsed="false">
      <c r="A60" s="144" t="s">
        <v>909</v>
      </c>
      <c r="B60" s="145" t="s">
        <v>434</v>
      </c>
      <c r="C60" s="146" t="s">
        <v>191</v>
      </c>
      <c r="D60" s="144" t="s">
        <v>435</v>
      </c>
      <c r="E60" s="144" t="s">
        <v>436</v>
      </c>
      <c r="F60" s="144" t="s">
        <v>162</v>
      </c>
      <c r="G60" s="147" t="n">
        <v>47791</v>
      </c>
      <c r="H60" s="146" t="s">
        <v>36</v>
      </c>
      <c r="I60" s="144" t="s">
        <v>309</v>
      </c>
      <c r="J60" s="144" t="s">
        <v>310</v>
      </c>
      <c r="K60" s="146"/>
      <c r="L60" s="146"/>
      <c r="M60" s="148"/>
    </row>
    <row r="61" customFormat="false" ht="21" hidden="false" customHeight="true" outlineLevel="0" collapsed="false">
      <c r="A61" s="139" t="s">
        <v>909</v>
      </c>
      <c r="B61" s="140" t="s">
        <v>438</v>
      </c>
      <c r="C61" s="141" t="s">
        <v>250</v>
      </c>
      <c r="D61" s="139" t="s">
        <v>439</v>
      </c>
      <c r="E61" s="139" t="s">
        <v>440</v>
      </c>
      <c r="F61" s="139" t="s">
        <v>162</v>
      </c>
      <c r="G61" s="142" t="n">
        <v>46676</v>
      </c>
      <c r="H61" s="141" t="s">
        <v>36</v>
      </c>
      <c r="I61" s="139" t="s">
        <v>309</v>
      </c>
      <c r="J61" s="139" t="s">
        <v>310</v>
      </c>
      <c r="K61" s="139" t="s">
        <v>441</v>
      </c>
      <c r="L61" s="141"/>
      <c r="M61" s="143"/>
    </row>
    <row r="62" customFormat="false" ht="21" hidden="false" customHeight="true" outlineLevel="0" collapsed="false">
      <c r="A62" s="144" t="s">
        <v>909</v>
      </c>
      <c r="B62" s="145" t="s">
        <v>443</v>
      </c>
      <c r="C62" s="146" t="s">
        <v>159</v>
      </c>
      <c r="D62" s="144" t="s">
        <v>444</v>
      </c>
      <c r="E62" s="144" t="s">
        <v>445</v>
      </c>
      <c r="F62" s="144" t="s">
        <v>162</v>
      </c>
      <c r="G62" s="147" t="n">
        <v>46649</v>
      </c>
      <c r="H62" s="146" t="s">
        <v>36</v>
      </c>
      <c r="I62" s="144" t="s">
        <v>309</v>
      </c>
      <c r="J62" s="144" t="s">
        <v>310</v>
      </c>
      <c r="K62" s="144" t="s">
        <v>446</v>
      </c>
      <c r="L62" s="146"/>
      <c r="M62" s="148"/>
    </row>
    <row r="63" customFormat="false" ht="21" hidden="false" customHeight="true" outlineLevel="0" collapsed="false">
      <c r="A63" s="139" t="s">
        <v>909</v>
      </c>
      <c r="B63" s="140" t="s">
        <v>448</v>
      </c>
      <c r="C63" s="141" t="s">
        <v>176</v>
      </c>
      <c r="D63" s="139" t="s">
        <v>449</v>
      </c>
      <c r="E63" s="139" t="s">
        <v>450</v>
      </c>
      <c r="F63" s="139" t="s">
        <v>162</v>
      </c>
      <c r="G63" s="142" t="n">
        <v>48106</v>
      </c>
      <c r="H63" s="141" t="s">
        <v>36</v>
      </c>
      <c r="I63" s="139" t="s">
        <v>309</v>
      </c>
      <c r="J63" s="139" t="s">
        <v>451</v>
      </c>
      <c r="K63" s="141"/>
      <c r="L63" s="141"/>
      <c r="M63" s="143"/>
    </row>
    <row r="64" customFormat="false" ht="18" hidden="false" customHeight="true" outlineLevel="0" collapsed="false"/>
    <row r="65" customFormat="false" ht="18" hidden="false" customHeight="true" outlineLevel="0" collapsed="false"/>
  </sheetData>
  <mergeCells count="2">
    <mergeCell ref="B1:D1"/>
    <mergeCell ref="H1:M1"/>
  </mergeCells>
  <conditionalFormatting sqref="F3:F63">
    <cfRule type="expression" priority="2" aboveAverage="0" equalAverage="0" bottom="0" percent="0" rank="0" text="" dxfId="11">
      <formula>ISNUMBER(SEARCH("Aprovado",$F3))</formula>
    </cfRule>
    <cfRule type="expression" priority="3" aboveAverage="0" equalAverage="0" bottom="0" percent="0" rank="0" text="" dxfId="8">
      <formula>ISNUMBER(SEARCH("Revis",$F3))</formula>
    </cfRule>
    <cfRule type="expression" priority="4" aboveAverage="0" equalAverage="0" bottom="0" percent="0" rank="0" text="" dxfId="8">
      <formula>ISNUMBER(SEARCH("Elabora",$F3))</formula>
    </cfRule>
    <cfRule type="expression" priority="5" aboveAverage="0" equalAverage="0" bottom="0" percent="0" rank="0" text="" dxfId="10">
      <formula>ISNUMBER(SEARCH("Cancel",$F3))</formula>
    </cfRule>
    <cfRule type="expression" priority="6" aboveAverage="0" equalAverage="0" bottom="0" percent="0" rank="0" text="" dxfId="10">
      <formula>ISNUMBER(SEARCH("Fora",$F3))</formula>
    </cfRule>
    <cfRule type="expression" priority="7" aboveAverage="0" equalAverage="0" bottom="0" percent="0" rank="0" text="" dxfId="7">
      <formula>ISNUMBER(SEARCH("Não encontrado",$F3))</formula>
    </cfRule>
    <cfRule type="expression" priority="8" aboveAverage="0" equalAverage="0" bottom="0" percent="0" rank="0" text="" dxfId="7">
      <formula>ISNUMBER(SEARCH("Avai",$F3))</formula>
    </cfRule>
  </conditionalFormatting>
  <conditionalFormatting sqref="G3:G63">
    <cfRule type="expression" priority="9" aboveAverage="0" equalAverage="0" bottom="0" percent="0" rank="0" text="" dxfId="7">
      <formula>AND(ISNUMBER($G3),$G3&lt;DataRef,ISNUMBER(SEARCH("Aprovado",$F3)))</formula>
    </cfRule>
    <cfRule type="expression" priority="10" aboveAverage="0" equalAverage="0" bottom="0" percent="0" rank="0" text="" dxfId="8">
      <formula>AND(ISNUMBER($G3),$G3&gt;=DataRef,$G3&lt;=EDATE(DataRef,12),ISNUMBER(SEARCH("Aprovado",$F3)))</formula>
    </cfRule>
  </conditionalFormatting>
  <hyperlinks>
    <hyperlink ref="E1" location="'INÍCIO'!A1" display="⌂  Início"/>
    <hyperlink ref="F1" location="'DASHBOARD EXECUTIVO'!A1" display="▦  Dashboard"/>
    <hyperlink ref="G1" location="'PESQUISA'!A1" display="⌕  Pesquis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85"/>
    <pageSetUpPr fitToPage="false"/>
  </sheetPr>
  <dimension ref="A1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133" width="24"/>
    <col collapsed="false" customWidth="true" hidden="false" outlineLevel="0" max="3" min="3" style="133" width="10"/>
    <col collapsed="false" customWidth="true" hidden="false" outlineLevel="0" max="4" min="4" style="133" width="16"/>
    <col collapsed="false" customWidth="true" hidden="false" outlineLevel="0" max="5" min="5" style="0" width="70"/>
    <col collapsed="false" customWidth="true" hidden="false" outlineLevel="0" max="6" min="6" style="133" width="19"/>
    <col collapsed="false" customWidth="true" hidden="false" outlineLevel="0" max="7" min="7" style="133" width="14"/>
    <col collapsed="false" customWidth="true" hidden="false" outlineLevel="0" max="8" min="8" style="133" width="10"/>
    <col collapsed="false" customWidth="true" hidden="false" outlineLevel="0" max="9" min="9" style="0" width="12.9"/>
    <col collapsed="false" customWidth="true" hidden="false" outlineLevel="0" max="10" min="10" style="0" width="37"/>
    <col collapsed="false" customWidth="true" hidden="false" outlineLevel="0" max="11" min="11" style="0" width="70"/>
    <col collapsed="false" customWidth="true" hidden="false" outlineLevel="0" max="12" min="12" style="0" width="30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34"/>
      <c r="B1" s="135" t="s">
        <v>904</v>
      </c>
      <c r="C1" s="135"/>
      <c r="D1" s="135"/>
      <c r="E1" s="55" t="s">
        <v>64</v>
      </c>
      <c r="F1" s="55" t="s">
        <v>65</v>
      </c>
      <c r="G1" s="55" t="s">
        <v>66</v>
      </c>
      <c r="H1" s="136" t="str">
        <f aca="false">COUNTA($B$3:$B$33)&amp;" registros  ·  "&amp;COUNTIFS($F$3:$F$33,"Aprovado*",$G$3:$G$33,"&lt;"&amp;DataRef)&amp;" vencido(s)  ·  "&amp;COUNTIFS($F$3:$F$33,"Aprovado*",$G$3:$G$33,"&gt;="&amp;DataRef,$G$3:$G$33,"&lt;="&amp;EDATE(DataRef,12))&amp;" vencem em 12 meses"</f>
        <v>30 registros  ·  0 vencido(s)  ·  4 vencem em 12 meses</v>
      </c>
      <c r="I1" s="136"/>
      <c r="J1" s="136"/>
      <c r="K1" s="136"/>
      <c r="L1" s="136"/>
      <c r="M1" s="136"/>
    </row>
    <row r="2" s="138" customFormat="true" ht="31.5" hidden="false" customHeight="true" outlineLevel="0" collapsed="false">
      <c r="A2" s="105" t="s">
        <v>905</v>
      </c>
      <c r="B2" s="105" t="s">
        <v>906</v>
      </c>
      <c r="C2" s="105" t="s">
        <v>132</v>
      </c>
      <c r="D2" s="105" t="s">
        <v>140</v>
      </c>
      <c r="E2" s="105" t="s">
        <v>87</v>
      </c>
      <c r="F2" s="105" t="s">
        <v>907</v>
      </c>
      <c r="G2" s="105" t="s">
        <v>134</v>
      </c>
      <c r="H2" s="105" t="s">
        <v>88</v>
      </c>
      <c r="I2" s="105" t="s">
        <v>142</v>
      </c>
      <c r="J2" s="105" t="s">
        <v>908</v>
      </c>
      <c r="K2" s="105" t="s">
        <v>143</v>
      </c>
      <c r="L2" s="105" t="s">
        <v>144</v>
      </c>
      <c r="M2" s="137"/>
    </row>
    <row r="3" customFormat="false" ht="21" hidden="false" customHeight="true" outlineLevel="0" collapsed="false">
      <c r="A3" s="139" t="s">
        <v>909</v>
      </c>
      <c r="B3" s="140" t="s">
        <v>453</v>
      </c>
      <c r="C3" s="141" t="s">
        <v>176</v>
      </c>
      <c r="D3" s="139" t="s">
        <v>454</v>
      </c>
      <c r="E3" s="139" t="s">
        <v>455</v>
      </c>
      <c r="F3" s="139" t="s">
        <v>162</v>
      </c>
      <c r="G3" s="142" t="n">
        <v>46907</v>
      </c>
      <c r="H3" s="141" t="s">
        <v>107</v>
      </c>
      <c r="I3" s="141"/>
      <c r="J3" s="139" t="s">
        <v>163</v>
      </c>
      <c r="K3" s="141"/>
      <c r="L3" s="141"/>
      <c r="M3" s="143"/>
    </row>
    <row r="4" customFormat="false" ht="21" hidden="false" customHeight="true" outlineLevel="0" collapsed="false">
      <c r="A4" s="144" t="s">
        <v>909</v>
      </c>
      <c r="B4" s="145" t="s">
        <v>457</v>
      </c>
      <c r="C4" s="146" t="s">
        <v>250</v>
      </c>
      <c r="D4" s="144" t="s">
        <v>458</v>
      </c>
      <c r="E4" s="144" t="s">
        <v>459</v>
      </c>
      <c r="F4" s="144" t="s">
        <v>460</v>
      </c>
      <c r="G4" s="147" t="n">
        <v>47987</v>
      </c>
      <c r="H4" s="144" t="s">
        <v>110</v>
      </c>
      <c r="I4" s="146"/>
      <c r="J4" s="144" t="s">
        <v>169</v>
      </c>
      <c r="K4" s="146"/>
      <c r="L4" s="146"/>
      <c r="M4" s="148"/>
    </row>
    <row r="5" customFormat="false" ht="21" hidden="false" customHeight="true" outlineLevel="0" collapsed="false">
      <c r="A5" s="139" t="s">
        <v>909</v>
      </c>
      <c r="B5" s="140" t="s">
        <v>462</v>
      </c>
      <c r="C5" s="141" t="s">
        <v>250</v>
      </c>
      <c r="D5" s="139" t="s">
        <v>463</v>
      </c>
      <c r="E5" s="139" t="s">
        <v>464</v>
      </c>
      <c r="F5" s="139" t="s">
        <v>460</v>
      </c>
      <c r="G5" s="142" t="n">
        <v>48106</v>
      </c>
      <c r="H5" s="141" t="s">
        <v>109</v>
      </c>
      <c r="I5" s="141"/>
      <c r="J5" s="139" t="s">
        <v>169</v>
      </c>
      <c r="K5" s="141"/>
      <c r="L5" s="141"/>
      <c r="M5" s="143"/>
    </row>
    <row r="6" customFormat="false" ht="21" hidden="false" customHeight="true" outlineLevel="0" collapsed="false">
      <c r="A6" s="144" t="s">
        <v>909</v>
      </c>
      <c r="B6" s="145" t="s">
        <v>466</v>
      </c>
      <c r="C6" s="146" t="s">
        <v>176</v>
      </c>
      <c r="D6" s="144" t="s">
        <v>467</v>
      </c>
      <c r="E6" s="144" t="s">
        <v>468</v>
      </c>
      <c r="F6" s="144" t="s">
        <v>162</v>
      </c>
      <c r="G6" s="147" t="n">
        <v>46907</v>
      </c>
      <c r="H6" s="144" t="s">
        <v>110</v>
      </c>
      <c r="I6" s="146"/>
      <c r="J6" s="144" t="s">
        <v>163</v>
      </c>
      <c r="K6" s="144" t="s">
        <v>469</v>
      </c>
      <c r="L6" s="146"/>
      <c r="M6" s="148"/>
    </row>
    <row r="7" customFormat="false" ht="21" hidden="false" customHeight="true" outlineLevel="0" collapsed="false">
      <c r="A7" s="139" t="s">
        <v>909</v>
      </c>
      <c r="B7" s="140" t="s">
        <v>471</v>
      </c>
      <c r="C7" s="141" t="s">
        <v>176</v>
      </c>
      <c r="D7" s="139" t="s">
        <v>472</v>
      </c>
      <c r="E7" s="139" t="s">
        <v>473</v>
      </c>
      <c r="F7" s="139" t="s">
        <v>460</v>
      </c>
      <c r="G7" s="142" t="n">
        <v>47987</v>
      </c>
      <c r="H7" s="141" t="s">
        <v>107</v>
      </c>
      <c r="I7" s="141"/>
      <c r="J7" s="139" t="s">
        <v>163</v>
      </c>
      <c r="K7" s="139" t="s">
        <v>474</v>
      </c>
      <c r="L7" s="141"/>
      <c r="M7" s="143"/>
    </row>
    <row r="8" customFormat="false" ht="21" hidden="false" customHeight="true" outlineLevel="0" collapsed="false">
      <c r="A8" s="144" t="s">
        <v>909</v>
      </c>
      <c r="B8" s="145" t="s">
        <v>476</v>
      </c>
      <c r="C8" s="146" t="s">
        <v>176</v>
      </c>
      <c r="D8" s="144" t="s">
        <v>477</v>
      </c>
      <c r="E8" s="144" t="s">
        <v>478</v>
      </c>
      <c r="F8" s="144" t="s">
        <v>162</v>
      </c>
      <c r="G8" s="147" t="n">
        <v>46846</v>
      </c>
      <c r="H8" s="146" t="s">
        <v>107</v>
      </c>
      <c r="I8" s="146"/>
      <c r="J8" s="144" t="s">
        <v>163</v>
      </c>
      <c r="K8" s="146"/>
      <c r="L8" s="146"/>
      <c r="M8" s="148"/>
    </row>
    <row r="9" customFormat="false" ht="21" hidden="false" customHeight="true" outlineLevel="0" collapsed="false">
      <c r="A9" s="139" t="s">
        <v>909</v>
      </c>
      <c r="B9" s="140" t="s">
        <v>480</v>
      </c>
      <c r="C9" s="141" t="s">
        <v>159</v>
      </c>
      <c r="D9" s="139" t="s">
        <v>481</v>
      </c>
      <c r="E9" s="139" t="s">
        <v>482</v>
      </c>
      <c r="F9" s="139" t="s">
        <v>162</v>
      </c>
      <c r="G9" s="142" t="n">
        <v>46914</v>
      </c>
      <c r="H9" s="141" t="s">
        <v>107</v>
      </c>
      <c r="I9" s="141"/>
      <c r="J9" s="139" t="s">
        <v>163</v>
      </c>
      <c r="K9" s="141"/>
      <c r="L9" s="141"/>
      <c r="M9" s="143"/>
    </row>
    <row r="10" customFormat="false" ht="21" hidden="false" customHeight="true" outlineLevel="0" collapsed="false">
      <c r="A10" s="144" t="s">
        <v>909</v>
      </c>
      <c r="B10" s="145" t="s">
        <v>484</v>
      </c>
      <c r="C10" s="146" t="s">
        <v>176</v>
      </c>
      <c r="D10" s="144" t="s">
        <v>485</v>
      </c>
      <c r="E10" s="144" t="s">
        <v>486</v>
      </c>
      <c r="F10" s="144" t="s">
        <v>162</v>
      </c>
      <c r="G10" s="147" t="n">
        <v>46907</v>
      </c>
      <c r="H10" s="144" t="s">
        <v>110</v>
      </c>
      <c r="I10" s="146"/>
      <c r="J10" s="144" t="s">
        <v>163</v>
      </c>
      <c r="K10" s="146"/>
      <c r="L10" s="146"/>
      <c r="M10" s="148"/>
    </row>
    <row r="11" customFormat="false" ht="21" hidden="false" customHeight="true" outlineLevel="0" collapsed="false">
      <c r="A11" s="139" t="s">
        <v>909</v>
      </c>
      <c r="B11" s="140" t="s">
        <v>488</v>
      </c>
      <c r="C11" s="141" t="s">
        <v>176</v>
      </c>
      <c r="D11" s="139" t="s">
        <v>489</v>
      </c>
      <c r="E11" s="139" t="s">
        <v>490</v>
      </c>
      <c r="F11" s="139" t="s">
        <v>162</v>
      </c>
      <c r="G11" s="142" t="n">
        <v>46914</v>
      </c>
      <c r="H11" s="141" t="s">
        <v>107</v>
      </c>
      <c r="I11" s="141"/>
      <c r="J11" s="139" t="s">
        <v>163</v>
      </c>
      <c r="K11" s="139" t="s">
        <v>491</v>
      </c>
      <c r="L11" s="141"/>
      <c r="M11" s="143"/>
    </row>
    <row r="12" customFormat="false" ht="21" hidden="false" customHeight="true" outlineLevel="0" collapsed="false">
      <c r="A12" s="144" t="s">
        <v>909</v>
      </c>
      <c r="B12" s="145" t="s">
        <v>493</v>
      </c>
      <c r="C12" s="146" t="s">
        <v>191</v>
      </c>
      <c r="D12" s="144" t="s">
        <v>494</v>
      </c>
      <c r="E12" s="144" t="s">
        <v>495</v>
      </c>
      <c r="F12" s="144" t="s">
        <v>162</v>
      </c>
      <c r="G12" s="147" t="n">
        <v>47987</v>
      </c>
      <c r="H12" s="144" t="s">
        <v>110</v>
      </c>
      <c r="I12" s="146"/>
      <c r="J12" s="144" t="s">
        <v>169</v>
      </c>
      <c r="K12" s="146"/>
      <c r="L12" s="146"/>
      <c r="M12" s="148"/>
    </row>
    <row r="13" customFormat="false" ht="21" hidden="false" customHeight="true" outlineLevel="0" collapsed="false">
      <c r="A13" s="139" t="s">
        <v>909</v>
      </c>
      <c r="B13" s="140" t="s">
        <v>497</v>
      </c>
      <c r="C13" s="141" t="s">
        <v>159</v>
      </c>
      <c r="D13" s="139" t="s">
        <v>498</v>
      </c>
      <c r="E13" s="139" t="s">
        <v>499</v>
      </c>
      <c r="F13" s="139" t="s">
        <v>162</v>
      </c>
      <c r="G13" s="142" t="n">
        <v>46846</v>
      </c>
      <c r="H13" s="139" t="s">
        <v>110</v>
      </c>
      <c r="I13" s="141"/>
      <c r="J13" s="139" t="s">
        <v>163</v>
      </c>
      <c r="K13" s="141"/>
      <c r="L13" s="141"/>
      <c r="M13" s="143"/>
    </row>
    <row r="14" customFormat="false" ht="21" hidden="false" customHeight="true" outlineLevel="0" collapsed="false">
      <c r="A14" s="144" t="s">
        <v>909</v>
      </c>
      <c r="B14" s="145" t="s">
        <v>501</v>
      </c>
      <c r="C14" s="146" t="s">
        <v>191</v>
      </c>
      <c r="D14" s="144" t="s">
        <v>502</v>
      </c>
      <c r="E14" s="144" t="s">
        <v>503</v>
      </c>
      <c r="F14" s="144" t="s">
        <v>162</v>
      </c>
      <c r="G14" s="147" t="n">
        <v>48010</v>
      </c>
      <c r="H14" s="144" t="s">
        <v>110</v>
      </c>
      <c r="I14" s="146"/>
      <c r="J14" s="144" t="s">
        <v>169</v>
      </c>
      <c r="K14" s="146"/>
      <c r="L14" s="146"/>
      <c r="M14" s="148"/>
    </row>
    <row r="15" customFormat="false" ht="21" hidden="false" customHeight="true" outlineLevel="0" collapsed="false">
      <c r="A15" s="139" t="s">
        <v>909</v>
      </c>
      <c r="B15" s="140" t="s">
        <v>505</v>
      </c>
      <c r="C15" s="141" t="s">
        <v>506</v>
      </c>
      <c r="D15" s="139" t="s">
        <v>507</v>
      </c>
      <c r="E15" s="139" t="s">
        <v>508</v>
      </c>
      <c r="F15" s="139" t="s">
        <v>460</v>
      </c>
      <c r="G15" s="142" t="n">
        <v>48106</v>
      </c>
      <c r="H15" s="141" t="s">
        <v>107</v>
      </c>
      <c r="I15" s="141"/>
      <c r="J15" s="139" t="s">
        <v>169</v>
      </c>
      <c r="K15" s="139" t="s">
        <v>509</v>
      </c>
      <c r="L15" s="141"/>
      <c r="M15" s="143"/>
    </row>
    <row r="16" customFormat="false" ht="21" hidden="false" customHeight="true" outlineLevel="0" collapsed="false">
      <c r="A16" s="144" t="s">
        <v>909</v>
      </c>
      <c r="B16" s="145" t="s">
        <v>511</v>
      </c>
      <c r="C16" s="146" t="s">
        <v>176</v>
      </c>
      <c r="D16" s="144" t="s">
        <v>512</v>
      </c>
      <c r="E16" s="144" t="s">
        <v>513</v>
      </c>
      <c r="F16" s="144" t="s">
        <v>162</v>
      </c>
      <c r="G16" s="147" t="n">
        <v>46907</v>
      </c>
      <c r="H16" s="146" t="s">
        <v>107</v>
      </c>
      <c r="I16" s="146"/>
      <c r="J16" s="144" t="s">
        <v>163</v>
      </c>
      <c r="K16" s="146"/>
      <c r="L16" s="146"/>
      <c r="M16" s="148"/>
    </row>
    <row r="17" customFormat="false" ht="21" hidden="false" customHeight="true" outlineLevel="0" collapsed="false">
      <c r="A17" s="139" t="s">
        <v>909</v>
      </c>
      <c r="B17" s="140" t="s">
        <v>515</v>
      </c>
      <c r="C17" s="141" t="s">
        <v>235</v>
      </c>
      <c r="D17" s="139" t="s">
        <v>516</v>
      </c>
      <c r="E17" s="139" t="s">
        <v>517</v>
      </c>
      <c r="F17" s="139" t="s">
        <v>460</v>
      </c>
      <c r="G17" s="142" t="n">
        <v>47987</v>
      </c>
      <c r="H17" s="141" t="s">
        <v>107</v>
      </c>
      <c r="I17" s="141"/>
      <c r="J17" s="139" t="s">
        <v>163</v>
      </c>
      <c r="K17" s="139" t="s">
        <v>518</v>
      </c>
      <c r="L17" s="141"/>
      <c r="M17" s="143"/>
    </row>
    <row r="18" customFormat="false" ht="21" hidden="false" customHeight="true" outlineLevel="0" collapsed="false">
      <c r="A18" s="144" t="s">
        <v>909</v>
      </c>
      <c r="B18" s="145" t="s">
        <v>912</v>
      </c>
      <c r="C18" s="146" t="s">
        <v>302</v>
      </c>
      <c r="D18" s="144" t="s">
        <v>521</v>
      </c>
      <c r="E18" s="144" t="s">
        <v>522</v>
      </c>
      <c r="F18" s="144" t="s">
        <v>460</v>
      </c>
      <c r="G18" s="147" t="n">
        <v>48017</v>
      </c>
      <c r="H18" s="146" t="s">
        <v>109</v>
      </c>
      <c r="I18" s="146"/>
      <c r="J18" s="144" t="s">
        <v>169</v>
      </c>
      <c r="K18" s="146"/>
      <c r="L18" s="146"/>
      <c r="M18" s="148"/>
    </row>
    <row r="19" customFormat="false" ht="21" hidden="false" customHeight="true" outlineLevel="0" collapsed="false">
      <c r="A19" s="139" t="s">
        <v>909</v>
      </c>
      <c r="B19" s="140" t="s">
        <v>524</v>
      </c>
      <c r="C19" s="141" t="s">
        <v>525</v>
      </c>
      <c r="D19" s="139" t="s">
        <v>526</v>
      </c>
      <c r="E19" s="139" t="s">
        <v>527</v>
      </c>
      <c r="F19" s="139" t="s">
        <v>162</v>
      </c>
      <c r="G19" s="142" t="n">
        <v>47948</v>
      </c>
      <c r="H19" s="141" t="s">
        <v>107</v>
      </c>
      <c r="I19" s="139" t="s">
        <v>309</v>
      </c>
      <c r="J19" s="139" t="s">
        <v>528</v>
      </c>
      <c r="K19" s="141"/>
      <c r="L19" s="141"/>
      <c r="M19" s="143"/>
    </row>
    <row r="20" customFormat="false" ht="21" hidden="false" customHeight="true" outlineLevel="0" collapsed="false">
      <c r="A20" s="144" t="s">
        <v>909</v>
      </c>
      <c r="B20" s="145" t="s">
        <v>530</v>
      </c>
      <c r="C20" s="146" t="s">
        <v>531</v>
      </c>
      <c r="D20" s="144" t="s">
        <v>532</v>
      </c>
      <c r="E20" s="144" t="s">
        <v>533</v>
      </c>
      <c r="F20" s="144" t="s">
        <v>162</v>
      </c>
      <c r="G20" s="147" t="n">
        <v>47715</v>
      </c>
      <c r="H20" s="146" t="s">
        <v>109</v>
      </c>
      <c r="I20" s="144" t="s">
        <v>309</v>
      </c>
      <c r="J20" s="144" t="s">
        <v>528</v>
      </c>
      <c r="K20" s="146"/>
      <c r="L20" s="146"/>
      <c r="M20" s="148"/>
    </row>
    <row r="21" customFormat="false" ht="21" hidden="false" customHeight="true" outlineLevel="0" collapsed="false">
      <c r="A21" s="139" t="s">
        <v>909</v>
      </c>
      <c r="B21" s="140" t="s">
        <v>535</v>
      </c>
      <c r="C21" s="141" t="s">
        <v>176</v>
      </c>
      <c r="D21" s="139" t="s">
        <v>536</v>
      </c>
      <c r="E21" s="139" t="s">
        <v>537</v>
      </c>
      <c r="F21" s="139" t="s">
        <v>162</v>
      </c>
      <c r="G21" s="142" t="n">
        <v>46482</v>
      </c>
      <c r="H21" s="141" t="s">
        <v>109</v>
      </c>
      <c r="I21" s="139" t="s">
        <v>309</v>
      </c>
      <c r="J21" s="139" t="s">
        <v>538</v>
      </c>
      <c r="K21" s="141"/>
      <c r="L21" s="141"/>
      <c r="M21" s="143"/>
    </row>
    <row r="22" customFormat="false" ht="21" hidden="false" customHeight="true" outlineLevel="0" collapsed="false">
      <c r="A22" s="144" t="s">
        <v>909</v>
      </c>
      <c r="B22" s="145" t="s">
        <v>540</v>
      </c>
      <c r="C22" s="146" t="s">
        <v>250</v>
      </c>
      <c r="D22" s="144" t="s">
        <v>541</v>
      </c>
      <c r="E22" s="144" t="s">
        <v>542</v>
      </c>
      <c r="F22" s="144" t="s">
        <v>162</v>
      </c>
      <c r="G22" s="147" t="n">
        <v>46908</v>
      </c>
      <c r="H22" s="146" t="s">
        <v>109</v>
      </c>
      <c r="I22" s="144" t="s">
        <v>309</v>
      </c>
      <c r="J22" s="144" t="s">
        <v>543</v>
      </c>
      <c r="K22" s="146"/>
      <c r="L22" s="146"/>
      <c r="M22" s="148"/>
    </row>
    <row r="23" customFormat="false" ht="21" hidden="false" customHeight="true" outlineLevel="0" collapsed="false">
      <c r="A23" s="139" t="s">
        <v>909</v>
      </c>
      <c r="B23" s="140" t="s">
        <v>545</v>
      </c>
      <c r="C23" s="141" t="s">
        <v>506</v>
      </c>
      <c r="D23" s="139" t="s">
        <v>546</v>
      </c>
      <c r="E23" s="139" t="s">
        <v>547</v>
      </c>
      <c r="F23" s="139" t="s">
        <v>162</v>
      </c>
      <c r="G23" s="142" t="n">
        <v>46493</v>
      </c>
      <c r="H23" s="141" t="s">
        <v>107</v>
      </c>
      <c r="I23" s="139" t="s">
        <v>309</v>
      </c>
      <c r="J23" s="139" t="s">
        <v>548</v>
      </c>
      <c r="K23" s="141"/>
      <c r="L23" s="141"/>
      <c r="M23" s="143"/>
    </row>
    <row r="24" customFormat="false" ht="21" hidden="false" customHeight="true" outlineLevel="0" collapsed="false">
      <c r="A24" s="144" t="s">
        <v>909</v>
      </c>
      <c r="B24" s="145" t="s">
        <v>550</v>
      </c>
      <c r="C24" s="146" t="s">
        <v>159</v>
      </c>
      <c r="D24" s="144" t="s">
        <v>551</v>
      </c>
      <c r="E24" s="144" t="s">
        <v>552</v>
      </c>
      <c r="F24" s="144" t="s">
        <v>162</v>
      </c>
      <c r="G24" s="147" t="n">
        <v>46494</v>
      </c>
      <c r="H24" s="144" t="s">
        <v>110</v>
      </c>
      <c r="I24" s="144" t="s">
        <v>309</v>
      </c>
      <c r="J24" s="144" t="s">
        <v>553</v>
      </c>
      <c r="K24" s="146"/>
      <c r="L24" s="146"/>
      <c r="M24" s="148"/>
    </row>
    <row r="25" customFormat="false" ht="21" hidden="false" customHeight="true" outlineLevel="0" collapsed="false">
      <c r="A25" s="139" t="s">
        <v>909</v>
      </c>
      <c r="B25" s="140" t="s">
        <v>555</v>
      </c>
      <c r="C25" s="141" t="s">
        <v>250</v>
      </c>
      <c r="D25" s="139" t="s">
        <v>556</v>
      </c>
      <c r="E25" s="139" t="s">
        <v>557</v>
      </c>
      <c r="F25" s="139" t="s">
        <v>558</v>
      </c>
      <c r="G25" s="142" t="n">
        <v>46620</v>
      </c>
      <c r="H25" s="141" t="s">
        <v>109</v>
      </c>
      <c r="I25" s="139" t="s">
        <v>309</v>
      </c>
      <c r="J25" s="139" t="s">
        <v>559</v>
      </c>
      <c r="K25" s="141"/>
      <c r="L25" s="141"/>
      <c r="M25" s="143"/>
    </row>
    <row r="26" customFormat="false" ht="21" hidden="false" customHeight="true" outlineLevel="0" collapsed="false">
      <c r="A26" s="144" t="s">
        <v>909</v>
      </c>
      <c r="B26" s="145" t="s">
        <v>561</v>
      </c>
      <c r="C26" s="146" t="s">
        <v>250</v>
      </c>
      <c r="D26" s="144" t="s">
        <v>562</v>
      </c>
      <c r="E26" s="144" t="s">
        <v>563</v>
      </c>
      <c r="F26" s="144" t="s">
        <v>162</v>
      </c>
      <c r="G26" s="147" t="n">
        <v>47938</v>
      </c>
      <c r="H26" s="144" t="s">
        <v>110</v>
      </c>
      <c r="I26" s="144" t="s">
        <v>309</v>
      </c>
      <c r="J26" s="144" t="s">
        <v>548</v>
      </c>
      <c r="K26" s="146"/>
      <c r="L26" s="146"/>
      <c r="M26" s="148"/>
    </row>
    <row r="27" customFormat="false" ht="21" hidden="false" customHeight="true" outlineLevel="0" collapsed="false">
      <c r="A27" s="139" t="s">
        <v>909</v>
      </c>
      <c r="B27" s="140" t="s">
        <v>565</v>
      </c>
      <c r="C27" s="141" t="s">
        <v>250</v>
      </c>
      <c r="D27" s="139" t="s">
        <v>566</v>
      </c>
      <c r="E27" s="139" t="s">
        <v>567</v>
      </c>
      <c r="F27" s="139" t="s">
        <v>162</v>
      </c>
      <c r="G27" s="142" t="n">
        <v>46851</v>
      </c>
      <c r="H27" s="141" t="s">
        <v>109</v>
      </c>
      <c r="I27" s="139" t="s">
        <v>309</v>
      </c>
      <c r="J27" s="139" t="s">
        <v>568</v>
      </c>
      <c r="K27" s="141"/>
      <c r="L27" s="141"/>
      <c r="M27" s="143"/>
    </row>
    <row r="28" customFormat="false" ht="21" hidden="false" customHeight="true" outlineLevel="0" collapsed="false">
      <c r="A28" s="144" t="s">
        <v>909</v>
      </c>
      <c r="B28" s="145" t="s">
        <v>570</v>
      </c>
      <c r="C28" s="146" t="s">
        <v>235</v>
      </c>
      <c r="D28" s="144" t="s">
        <v>571</v>
      </c>
      <c r="E28" s="144" t="s">
        <v>572</v>
      </c>
      <c r="F28" s="144" t="s">
        <v>162</v>
      </c>
      <c r="G28" s="147" t="n">
        <v>47729</v>
      </c>
      <c r="H28" s="146" t="s">
        <v>107</v>
      </c>
      <c r="I28" s="144" t="s">
        <v>309</v>
      </c>
      <c r="J28" s="144" t="s">
        <v>573</v>
      </c>
      <c r="K28" s="146"/>
      <c r="L28" s="144" t="s">
        <v>574</v>
      </c>
      <c r="M28" s="148"/>
    </row>
    <row r="29" customFormat="false" ht="21" hidden="false" customHeight="true" outlineLevel="0" collapsed="false">
      <c r="A29" s="139" t="s">
        <v>909</v>
      </c>
      <c r="B29" s="140" t="s">
        <v>576</v>
      </c>
      <c r="C29" s="141" t="s">
        <v>250</v>
      </c>
      <c r="D29" s="139" t="s">
        <v>577</v>
      </c>
      <c r="E29" s="139" t="s">
        <v>578</v>
      </c>
      <c r="F29" s="139" t="s">
        <v>162</v>
      </c>
      <c r="G29" s="142" t="n">
        <v>47764</v>
      </c>
      <c r="H29" s="141" t="s">
        <v>109</v>
      </c>
      <c r="I29" s="139" t="s">
        <v>309</v>
      </c>
      <c r="J29" s="139" t="s">
        <v>579</v>
      </c>
      <c r="K29" s="141"/>
      <c r="L29" s="141"/>
      <c r="M29" s="143"/>
    </row>
    <row r="30" customFormat="false" ht="21" hidden="false" customHeight="true" outlineLevel="0" collapsed="false">
      <c r="A30" s="144" t="s">
        <v>909</v>
      </c>
      <c r="B30" s="145" t="s">
        <v>581</v>
      </c>
      <c r="C30" s="146" t="s">
        <v>506</v>
      </c>
      <c r="D30" s="144" t="s">
        <v>582</v>
      </c>
      <c r="E30" s="144" t="s">
        <v>583</v>
      </c>
      <c r="F30" s="144" t="s">
        <v>162</v>
      </c>
      <c r="G30" s="147" t="n">
        <v>46579</v>
      </c>
      <c r="H30" s="146" t="s">
        <v>109</v>
      </c>
      <c r="I30" s="144" t="s">
        <v>309</v>
      </c>
      <c r="J30" s="144" t="s">
        <v>538</v>
      </c>
      <c r="K30" s="146"/>
      <c r="L30" s="146"/>
      <c r="M30" s="148"/>
    </row>
    <row r="31" customFormat="false" ht="21" hidden="false" customHeight="true" outlineLevel="0" collapsed="false">
      <c r="A31" s="141"/>
      <c r="B31" s="150"/>
      <c r="C31" s="141"/>
      <c r="D31" s="141"/>
      <c r="E31" s="141"/>
      <c r="F31" s="141"/>
      <c r="G31" s="151"/>
      <c r="H31" s="141"/>
      <c r="I31" s="141"/>
      <c r="J31" s="141"/>
      <c r="K31" s="141"/>
      <c r="L31" s="141"/>
      <c r="M31" s="143"/>
    </row>
    <row r="32" s="152" customFormat="true" ht="21" hidden="false" customHeight="true" outlineLevel="0" collapsed="false">
      <c r="A32" s="144" t="s">
        <v>909</v>
      </c>
      <c r="B32" s="145" t="s">
        <v>585</v>
      </c>
      <c r="C32" s="146" t="s">
        <v>506</v>
      </c>
      <c r="D32" s="144" t="s">
        <v>586</v>
      </c>
      <c r="E32" s="144" t="s">
        <v>587</v>
      </c>
      <c r="F32" s="144" t="s">
        <v>588</v>
      </c>
      <c r="G32" s="147" t="n">
        <v>45325</v>
      </c>
      <c r="H32" s="146" t="s">
        <v>109</v>
      </c>
      <c r="I32" s="144" t="s">
        <v>589</v>
      </c>
      <c r="J32" s="144" t="s">
        <v>163</v>
      </c>
      <c r="K32" s="146"/>
      <c r="L32" s="144" t="s">
        <v>590</v>
      </c>
      <c r="M32" s="148"/>
    </row>
    <row r="33" customFormat="false" ht="21" hidden="false" customHeight="true" outlineLevel="0" collapsed="false">
      <c r="A33" s="139" t="s">
        <v>909</v>
      </c>
      <c r="B33" s="140" t="s">
        <v>592</v>
      </c>
      <c r="C33" s="141" t="s">
        <v>506</v>
      </c>
      <c r="D33" s="139" t="s">
        <v>593</v>
      </c>
      <c r="E33" s="139" t="s">
        <v>594</v>
      </c>
      <c r="F33" s="139" t="s">
        <v>595</v>
      </c>
      <c r="G33" s="142" t="n">
        <v>47938</v>
      </c>
      <c r="H33" s="139" t="s">
        <v>110</v>
      </c>
      <c r="I33" s="139" t="s">
        <v>309</v>
      </c>
      <c r="J33" s="139" t="s">
        <v>596</v>
      </c>
      <c r="K33" s="141"/>
      <c r="L33" s="139" t="s">
        <v>597</v>
      </c>
      <c r="M33" s="143"/>
    </row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</sheetData>
  <mergeCells count="2">
    <mergeCell ref="B1:D1"/>
    <mergeCell ref="H1:M1"/>
  </mergeCells>
  <conditionalFormatting sqref="F3:F33">
    <cfRule type="expression" priority="2" aboveAverage="0" equalAverage="0" bottom="0" percent="0" rank="0" text="" dxfId="11">
      <formula>ISNUMBER(SEARCH("Aprovado",$F3))</formula>
    </cfRule>
    <cfRule type="expression" priority="3" aboveAverage="0" equalAverage="0" bottom="0" percent="0" rank="0" text="" dxfId="8">
      <formula>ISNUMBER(SEARCH("Revis",$F3))</formula>
    </cfRule>
    <cfRule type="expression" priority="4" aboveAverage="0" equalAverage="0" bottom="0" percent="0" rank="0" text="" dxfId="8">
      <formula>ISNUMBER(SEARCH("Elabora",$F3))</formula>
    </cfRule>
    <cfRule type="expression" priority="5" aboveAverage="0" equalAverage="0" bottom="0" percent="0" rank="0" text="" dxfId="10">
      <formula>ISNUMBER(SEARCH("Cancel",$F3))</formula>
    </cfRule>
    <cfRule type="expression" priority="6" aboveAverage="0" equalAverage="0" bottom="0" percent="0" rank="0" text="" dxfId="10">
      <formula>ISNUMBER(SEARCH("Fora",$F3))</formula>
    </cfRule>
    <cfRule type="expression" priority="7" aboveAverage="0" equalAverage="0" bottom="0" percent="0" rank="0" text="" dxfId="7">
      <formula>ISNUMBER(SEARCH("Não encontrado",$F3))</formula>
    </cfRule>
    <cfRule type="expression" priority="8" aboveAverage="0" equalAverage="0" bottom="0" percent="0" rank="0" text="" dxfId="7">
      <formula>ISNUMBER(SEARCH("Avai",$F3))</formula>
    </cfRule>
  </conditionalFormatting>
  <conditionalFormatting sqref="G3:G33">
    <cfRule type="expression" priority="9" aboveAverage="0" equalAverage="0" bottom="0" percent="0" rank="0" text="" dxfId="7">
      <formula>AND(ISNUMBER($G3),$G3&lt;DataRef,ISNUMBER(SEARCH("Aprovado",$F3)))</formula>
    </cfRule>
    <cfRule type="expression" priority="10" aboveAverage="0" equalAverage="0" bottom="0" percent="0" rank="0" text="" dxfId="8">
      <formula>AND(ISNUMBER($G3),$G3&gt;=DataRef,$G3&lt;=EDATE(DataRef,12),ISNUMBER(SEARCH("Aprovado",$F3)))</formula>
    </cfRule>
  </conditionalFormatting>
  <hyperlinks>
    <hyperlink ref="E1" location="'INÍCIO'!A1" display="⌂  Início"/>
    <hyperlink ref="F1" location="'DASHBOARD EXECUTIVO'!A1" display="▦  Dashboard"/>
    <hyperlink ref="G1" location="'PESQUISA'!A1" display="⌕  Pesquis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85"/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G1" colorId="64" zoomScale="100" zoomScaleNormal="100" zoomScalePageLayoutView="100" workbookViewId="0">
      <pane xSplit="1" ySplit="2" topLeftCell="B3" activePane="bottomRight" state="frozen"/>
      <selection pane="topLeft" activeCell="G1" activeCellId="0" sqref="G1"/>
      <selection pane="topRight" activeCell="B1" activeCellId="0" sqref="B1"/>
      <selection pane="bottomLeft" activeCell="G3" activeCellId="0" sqref="G3"/>
      <selection pane="bottomRight" activeCell="A1" activeCellId="0" sqref="A1"/>
    </sheetView>
  </sheetViews>
  <sheetFormatPr defaultColWidth="24.28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133" width="24"/>
    <col collapsed="false" customWidth="true" hidden="false" outlineLevel="0" max="3" min="3" style="133" width="10"/>
    <col collapsed="false" customWidth="true" hidden="false" outlineLevel="0" max="4" min="4" style="133" width="20"/>
    <col collapsed="false" customWidth="true" hidden="false" outlineLevel="0" max="5" min="5" style="0" width="70"/>
    <col collapsed="false" customWidth="true" hidden="false" outlineLevel="0" max="7" min="6" style="133" width="14"/>
    <col collapsed="false" customWidth="true" hidden="false" outlineLevel="0" max="8" min="8" style="133" width="10"/>
    <col collapsed="false" customWidth="true" hidden="false" outlineLevel="0" max="9" min="9" style="0" width="12.9"/>
    <col collapsed="false" customWidth="true" hidden="false" outlineLevel="0" max="10" min="10" style="0" width="33"/>
    <col collapsed="false" customWidth="true" hidden="false" outlineLevel="0" max="11" min="11" style="0" width="10"/>
    <col collapsed="false" customWidth="true" hidden="false" outlineLevel="0" max="12" min="12" style="0" width="12.9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34"/>
      <c r="B1" s="135" t="s">
        <v>904</v>
      </c>
      <c r="C1" s="135"/>
      <c r="D1" s="135"/>
      <c r="E1" s="55" t="s">
        <v>64</v>
      </c>
      <c r="F1" s="55" t="s">
        <v>65</v>
      </c>
      <c r="G1" s="55" t="s">
        <v>66</v>
      </c>
      <c r="H1" s="136" t="str">
        <f aca="false">COUNTA($B$3:$B$32)&amp;" registros  ·  "&amp;COUNTIFS($F$3:$F$32,"Aprovado*",$G$3:$G$32,"&lt;"&amp;DataRef)&amp;" vencido(s)  ·  "&amp;COUNTIFS($F$3:$F$32,"Aprovado*",$G$3:$G$32,"&gt;="&amp;DataRef,$G$3:$G$32,"&lt;="&amp;EDATE(DataRef,12))&amp;" vencem em 12 meses"</f>
        <v>30 registros  ·  0 vencido(s)  ·  3 vencem em 12 meses</v>
      </c>
      <c r="I1" s="136"/>
      <c r="J1" s="136"/>
      <c r="K1" s="136"/>
      <c r="L1" s="136"/>
      <c r="M1" s="136"/>
    </row>
    <row r="2" s="138" customFormat="true" ht="31.5" hidden="false" customHeight="true" outlineLevel="0" collapsed="false">
      <c r="A2" s="105" t="s">
        <v>905</v>
      </c>
      <c r="B2" s="105" t="s">
        <v>906</v>
      </c>
      <c r="C2" s="105" t="s">
        <v>132</v>
      </c>
      <c r="D2" s="105" t="s">
        <v>140</v>
      </c>
      <c r="E2" s="105" t="s">
        <v>87</v>
      </c>
      <c r="F2" s="105" t="s">
        <v>907</v>
      </c>
      <c r="G2" s="105" t="s">
        <v>134</v>
      </c>
      <c r="H2" s="105" t="s">
        <v>88</v>
      </c>
      <c r="I2" s="105" t="s">
        <v>142</v>
      </c>
      <c r="J2" s="105" t="s">
        <v>908</v>
      </c>
      <c r="K2" s="105" t="s">
        <v>143</v>
      </c>
      <c r="L2" s="105" t="s">
        <v>144</v>
      </c>
      <c r="M2" s="137"/>
    </row>
    <row r="3" customFormat="false" ht="21" hidden="false" customHeight="true" outlineLevel="0" collapsed="false">
      <c r="A3" s="139" t="s">
        <v>909</v>
      </c>
      <c r="B3" s="140" t="s">
        <v>599</v>
      </c>
      <c r="C3" s="141" t="s">
        <v>600</v>
      </c>
      <c r="D3" s="139" t="s">
        <v>601</v>
      </c>
      <c r="E3" s="139" t="s">
        <v>602</v>
      </c>
      <c r="F3" s="139" t="s">
        <v>162</v>
      </c>
      <c r="G3" s="142" t="n">
        <v>48000</v>
      </c>
      <c r="H3" s="141" t="s">
        <v>38</v>
      </c>
      <c r="I3" s="141"/>
      <c r="J3" s="139" t="s">
        <v>603</v>
      </c>
      <c r="K3" s="141"/>
      <c r="L3" s="141"/>
      <c r="M3" s="143"/>
    </row>
    <row r="4" customFormat="false" ht="21" hidden="false" customHeight="true" outlineLevel="0" collapsed="false">
      <c r="A4" s="144" t="s">
        <v>909</v>
      </c>
      <c r="B4" s="145" t="s">
        <v>605</v>
      </c>
      <c r="C4" s="146" t="s">
        <v>250</v>
      </c>
      <c r="D4" s="144" t="s">
        <v>606</v>
      </c>
      <c r="E4" s="144" t="s">
        <v>607</v>
      </c>
      <c r="F4" s="144" t="s">
        <v>162</v>
      </c>
      <c r="G4" s="147" t="n">
        <v>46730</v>
      </c>
      <c r="H4" s="146" t="s">
        <v>38</v>
      </c>
      <c r="I4" s="146"/>
      <c r="J4" s="144" t="s">
        <v>603</v>
      </c>
      <c r="K4" s="146"/>
      <c r="L4" s="146"/>
      <c r="M4" s="148"/>
    </row>
    <row r="5" customFormat="false" ht="21" hidden="false" customHeight="true" outlineLevel="0" collapsed="false">
      <c r="A5" s="139" t="s">
        <v>909</v>
      </c>
      <c r="B5" s="140" t="s">
        <v>913</v>
      </c>
      <c r="C5" s="141" t="s">
        <v>235</v>
      </c>
      <c r="D5" s="139" t="s">
        <v>610</v>
      </c>
      <c r="E5" s="139" t="s">
        <v>611</v>
      </c>
      <c r="F5" s="139" t="s">
        <v>162</v>
      </c>
      <c r="G5" s="153" t="s">
        <v>612</v>
      </c>
      <c r="H5" s="141" t="s">
        <v>38</v>
      </c>
      <c r="I5" s="141"/>
      <c r="J5" s="139" t="s">
        <v>603</v>
      </c>
      <c r="K5" s="141"/>
      <c r="L5" s="141"/>
      <c r="M5" s="143"/>
    </row>
    <row r="6" customFormat="false" ht="21" hidden="false" customHeight="true" outlineLevel="0" collapsed="false">
      <c r="A6" s="144" t="s">
        <v>909</v>
      </c>
      <c r="B6" s="145" t="s">
        <v>914</v>
      </c>
      <c r="C6" s="146" t="s">
        <v>250</v>
      </c>
      <c r="D6" s="144" t="s">
        <v>615</v>
      </c>
      <c r="E6" s="144" t="s">
        <v>616</v>
      </c>
      <c r="F6" s="144" t="s">
        <v>162</v>
      </c>
      <c r="G6" s="147" t="n">
        <v>46748</v>
      </c>
      <c r="H6" s="146" t="s">
        <v>38</v>
      </c>
      <c r="I6" s="146"/>
      <c r="J6" s="144" t="s">
        <v>603</v>
      </c>
      <c r="K6" s="146"/>
      <c r="L6" s="146"/>
      <c r="M6" s="148"/>
    </row>
    <row r="7" customFormat="false" ht="21" hidden="false" customHeight="true" outlineLevel="0" collapsed="false">
      <c r="A7" s="139" t="s">
        <v>909</v>
      </c>
      <c r="B7" s="140" t="s">
        <v>618</v>
      </c>
      <c r="C7" s="141" t="s">
        <v>250</v>
      </c>
      <c r="D7" s="139" t="s">
        <v>619</v>
      </c>
      <c r="E7" s="139" t="s">
        <v>620</v>
      </c>
      <c r="F7" s="139" t="s">
        <v>162</v>
      </c>
      <c r="G7" s="142" t="n">
        <v>46482</v>
      </c>
      <c r="H7" s="141" t="s">
        <v>38</v>
      </c>
      <c r="I7" s="141"/>
      <c r="J7" s="139" t="s">
        <v>603</v>
      </c>
      <c r="K7" s="141"/>
      <c r="L7" s="141"/>
      <c r="M7" s="143"/>
    </row>
    <row r="8" customFormat="false" ht="21" hidden="false" customHeight="true" outlineLevel="0" collapsed="false">
      <c r="A8" s="144" t="s">
        <v>909</v>
      </c>
      <c r="B8" s="145" t="s">
        <v>622</v>
      </c>
      <c r="C8" s="146" t="s">
        <v>250</v>
      </c>
      <c r="D8" s="144" t="s">
        <v>623</v>
      </c>
      <c r="E8" s="144" t="s">
        <v>624</v>
      </c>
      <c r="F8" s="144" t="s">
        <v>162</v>
      </c>
      <c r="G8" s="147" t="n">
        <v>48008</v>
      </c>
      <c r="H8" s="146" t="s">
        <v>38</v>
      </c>
      <c r="I8" s="146"/>
      <c r="J8" s="144" t="s">
        <v>603</v>
      </c>
      <c r="K8" s="146"/>
      <c r="L8" s="146"/>
      <c r="M8" s="148"/>
    </row>
    <row r="9" customFormat="false" ht="21" hidden="false" customHeight="true" outlineLevel="0" collapsed="false">
      <c r="A9" s="139" t="s">
        <v>909</v>
      </c>
      <c r="B9" s="140" t="s">
        <v>626</v>
      </c>
      <c r="C9" s="141" t="s">
        <v>191</v>
      </c>
      <c r="D9" s="139" t="s">
        <v>627</v>
      </c>
      <c r="E9" s="139" t="s">
        <v>628</v>
      </c>
      <c r="F9" s="139" t="s">
        <v>162</v>
      </c>
      <c r="G9" s="142" t="n">
        <v>48104</v>
      </c>
      <c r="H9" s="141" t="s">
        <v>38</v>
      </c>
      <c r="I9" s="141"/>
      <c r="J9" s="139" t="s">
        <v>603</v>
      </c>
      <c r="K9" s="141"/>
      <c r="L9" s="141"/>
      <c r="M9" s="143"/>
    </row>
    <row r="10" customFormat="false" ht="21" hidden="false" customHeight="true" outlineLevel="0" collapsed="false">
      <c r="A10" s="144" t="s">
        <v>909</v>
      </c>
      <c r="B10" s="145" t="s">
        <v>609</v>
      </c>
      <c r="C10" s="146" t="s">
        <v>235</v>
      </c>
      <c r="D10" s="144" t="s">
        <v>915</v>
      </c>
      <c r="E10" s="144" t="s">
        <v>611</v>
      </c>
      <c r="F10" s="144" t="s">
        <v>162</v>
      </c>
      <c r="G10" s="147" t="n">
        <v>48000</v>
      </c>
      <c r="H10" s="146" t="s">
        <v>38</v>
      </c>
      <c r="I10" s="146"/>
      <c r="J10" s="144" t="s">
        <v>603</v>
      </c>
      <c r="K10" s="146"/>
      <c r="L10" s="146"/>
      <c r="M10" s="148"/>
    </row>
    <row r="11" customFormat="false" ht="21" hidden="false" customHeight="true" outlineLevel="0" collapsed="false">
      <c r="A11" s="139" t="s">
        <v>909</v>
      </c>
      <c r="B11" s="140" t="s">
        <v>630</v>
      </c>
      <c r="C11" s="141" t="s">
        <v>191</v>
      </c>
      <c r="D11" s="139" t="s">
        <v>631</v>
      </c>
      <c r="E11" s="139" t="s">
        <v>632</v>
      </c>
      <c r="F11" s="139" t="s">
        <v>162</v>
      </c>
      <c r="G11" s="142" t="n">
        <v>48104</v>
      </c>
      <c r="H11" s="141" t="s">
        <v>38</v>
      </c>
      <c r="I11" s="141"/>
      <c r="J11" s="139" t="s">
        <v>603</v>
      </c>
      <c r="K11" s="141"/>
      <c r="L11" s="141"/>
      <c r="M11" s="143"/>
    </row>
    <row r="12" customFormat="false" ht="21" hidden="false" customHeight="true" outlineLevel="0" collapsed="false">
      <c r="A12" s="144" t="s">
        <v>909</v>
      </c>
      <c r="B12" s="145" t="s">
        <v>634</v>
      </c>
      <c r="C12" s="146" t="s">
        <v>302</v>
      </c>
      <c r="D12" s="146"/>
      <c r="E12" s="144" t="s">
        <v>635</v>
      </c>
      <c r="F12" s="144" t="s">
        <v>162</v>
      </c>
      <c r="G12" s="147" t="n">
        <v>48093</v>
      </c>
      <c r="H12" s="146" t="s">
        <v>38</v>
      </c>
      <c r="I12" s="146"/>
      <c r="J12" s="144" t="s">
        <v>603</v>
      </c>
      <c r="K12" s="146"/>
      <c r="L12" s="146"/>
      <c r="M12" s="148"/>
    </row>
    <row r="13" customFormat="false" ht="21" hidden="false" customHeight="true" outlineLevel="0" collapsed="false">
      <c r="A13" s="139" t="s">
        <v>909</v>
      </c>
      <c r="B13" s="140" t="s">
        <v>637</v>
      </c>
      <c r="C13" s="141" t="s">
        <v>235</v>
      </c>
      <c r="D13" s="139" t="s">
        <v>638</v>
      </c>
      <c r="E13" s="139" t="s">
        <v>639</v>
      </c>
      <c r="F13" s="139" t="s">
        <v>162</v>
      </c>
      <c r="G13" s="142" t="n">
        <v>48023</v>
      </c>
      <c r="H13" s="141" t="s">
        <v>38</v>
      </c>
      <c r="I13" s="141"/>
      <c r="J13" s="139" t="s">
        <v>603</v>
      </c>
      <c r="K13" s="141"/>
      <c r="L13" s="141"/>
      <c r="M13" s="143"/>
    </row>
    <row r="14" customFormat="false" ht="21" hidden="false" customHeight="true" outlineLevel="0" collapsed="false">
      <c r="A14" s="144" t="s">
        <v>909</v>
      </c>
      <c r="B14" s="145" t="s">
        <v>641</v>
      </c>
      <c r="C14" s="146" t="s">
        <v>176</v>
      </c>
      <c r="D14" s="144" t="s">
        <v>642</v>
      </c>
      <c r="E14" s="144" t="s">
        <v>643</v>
      </c>
      <c r="F14" s="144" t="s">
        <v>162</v>
      </c>
      <c r="G14" s="147" t="n">
        <v>46730</v>
      </c>
      <c r="H14" s="146" t="s">
        <v>38</v>
      </c>
      <c r="I14" s="146"/>
      <c r="J14" s="144" t="s">
        <v>603</v>
      </c>
      <c r="K14" s="146"/>
      <c r="L14" s="146"/>
      <c r="M14" s="148"/>
    </row>
    <row r="15" customFormat="false" ht="21" hidden="false" customHeight="true" outlineLevel="0" collapsed="false">
      <c r="A15" s="139" t="s">
        <v>909</v>
      </c>
      <c r="B15" s="140" t="s">
        <v>354</v>
      </c>
      <c r="C15" s="141" t="s">
        <v>250</v>
      </c>
      <c r="D15" s="139" t="s">
        <v>355</v>
      </c>
      <c r="E15" s="139" t="s">
        <v>356</v>
      </c>
      <c r="F15" s="139" t="s">
        <v>162</v>
      </c>
      <c r="G15" s="142" t="n">
        <v>46689</v>
      </c>
      <c r="H15" s="141" t="s">
        <v>38</v>
      </c>
      <c r="I15" s="141"/>
      <c r="J15" s="139" t="s">
        <v>603</v>
      </c>
      <c r="K15" s="141"/>
      <c r="L15" s="141"/>
      <c r="M15" s="143"/>
    </row>
    <row r="16" customFormat="false" ht="21" hidden="false" customHeight="true" outlineLevel="0" collapsed="false">
      <c r="A16" s="144" t="s">
        <v>909</v>
      </c>
      <c r="B16" s="145" t="s">
        <v>645</v>
      </c>
      <c r="C16" s="146" t="s">
        <v>646</v>
      </c>
      <c r="D16" s="144" t="s">
        <v>647</v>
      </c>
      <c r="E16" s="144" t="s">
        <v>648</v>
      </c>
      <c r="F16" s="144" t="s">
        <v>162</v>
      </c>
      <c r="G16" s="147" t="n">
        <v>48008</v>
      </c>
      <c r="H16" s="146" t="s">
        <v>38</v>
      </c>
      <c r="I16" s="146"/>
      <c r="J16" s="144" t="s">
        <v>603</v>
      </c>
      <c r="K16" s="146"/>
      <c r="L16" s="146"/>
      <c r="M16" s="148"/>
    </row>
    <row r="17" customFormat="false" ht="21" hidden="false" customHeight="true" outlineLevel="0" collapsed="false">
      <c r="A17" s="139" t="s">
        <v>909</v>
      </c>
      <c r="B17" s="140" t="s">
        <v>650</v>
      </c>
      <c r="C17" s="141" t="s">
        <v>651</v>
      </c>
      <c r="D17" s="139" t="s">
        <v>652</v>
      </c>
      <c r="E17" s="139" t="s">
        <v>653</v>
      </c>
      <c r="F17" s="139" t="s">
        <v>162</v>
      </c>
      <c r="G17" s="142" t="n">
        <v>48007</v>
      </c>
      <c r="H17" s="141" t="s">
        <v>38</v>
      </c>
      <c r="I17" s="141"/>
      <c r="J17" s="139" t="s">
        <v>603</v>
      </c>
      <c r="K17" s="141"/>
      <c r="L17" s="141"/>
      <c r="M17" s="143"/>
    </row>
    <row r="18" customFormat="false" ht="21" hidden="false" customHeight="true" outlineLevel="0" collapsed="false">
      <c r="A18" s="144" t="s">
        <v>909</v>
      </c>
      <c r="B18" s="145" t="s">
        <v>655</v>
      </c>
      <c r="C18" s="146" t="s">
        <v>176</v>
      </c>
      <c r="D18" s="144" t="s">
        <v>656</v>
      </c>
      <c r="E18" s="144" t="s">
        <v>657</v>
      </c>
      <c r="F18" s="144" t="s">
        <v>162</v>
      </c>
      <c r="G18" s="147" t="n">
        <v>48010</v>
      </c>
      <c r="H18" s="146" t="s">
        <v>38</v>
      </c>
      <c r="I18" s="146"/>
      <c r="J18" s="144" t="s">
        <v>603</v>
      </c>
      <c r="K18" s="146"/>
      <c r="L18" s="146"/>
      <c r="M18" s="148"/>
    </row>
    <row r="19" customFormat="false" ht="21" hidden="false" customHeight="true" outlineLevel="0" collapsed="false">
      <c r="A19" s="139" t="s">
        <v>909</v>
      </c>
      <c r="B19" s="140" t="s">
        <v>659</v>
      </c>
      <c r="C19" s="141" t="s">
        <v>176</v>
      </c>
      <c r="D19" s="139" t="s">
        <v>660</v>
      </c>
      <c r="E19" s="139" t="s">
        <v>661</v>
      </c>
      <c r="F19" s="139" t="s">
        <v>162</v>
      </c>
      <c r="G19" s="142" t="n">
        <v>46482</v>
      </c>
      <c r="H19" s="141" t="s">
        <v>38</v>
      </c>
      <c r="I19" s="141"/>
      <c r="J19" s="139" t="s">
        <v>603</v>
      </c>
      <c r="K19" s="141"/>
      <c r="L19" s="141"/>
      <c r="M19" s="143"/>
    </row>
    <row r="20" customFormat="false" ht="21" hidden="false" customHeight="true" outlineLevel="0" collapsed="false">
      <c r="A20" s="144" t="s">
        <v>909</v>
      </c>
      <c r="B20" s="145" t="s">
        <v>663</v>
      </c>
      <c r="C20" s="146" t="s">
        <v>664</v>
      </c>
      <c r="D20" s="144" t="s">
        <v>665</v>
      </c>
      <c r="E20" s="144" t="s">
        <v>666</v>
      </c>
      <c r="F20" s="144" t="s">
        <v>162</v>
      </c>
      <c r="G20" s="147" t="n">
        <v>48000</v>
      </c>
      <c r="H20" s="146" t="s">
        <v>38</v>
      </c>
      <c r="I20" s="146"/>
      <c r="J20" s="144" t="s">
        <v>603</v>
      </c>
      <c r="K20" s="146"/>
      <c r="L20" s="146"/>
      <c r="M20" s="148"/>
    </row>
    <row r="21" customFormat="false" ht="21" hidden="false" customHeight="true" outlineLevel="0" collapsed="false">
      <c r="A21" s="141" t="s">
        <v>916</v>
      </c>
      <c r="B21" s="140" t="s">
        <v>862</v>
      </c>
      <c r="C21" s="141" t="s">
        <v>506</v>
      </c>
      <c r="D21" s="139" t="s">
        <v>917</v>
      </c>
      <c r="E21" s="139" t="s">
        <v>918</v>
      </c>
      <c r="F21" s="139" t="s">
        <v>162</v>
      </c>
      <c r="G21" s="153" t="s">
        <v>919</v>
      </c>
      <c r="H21" s="141" t="s">
        <v>38</v>
      </c>
      <c r="I21" s="141"/>
      <c r="J21" s="139" t="s">
        <v>603</v>
      </c>
      <c r="K21" s="141"/>
      <c r="L21" s="141"/>
      <c r="M21" s="143"/>
    </row>
    <row r="22" customFormat="false" ht="21" hidden="false" customHeight="true" outlineLevel="0" collapsed="false">
      <c r="A22" s="144" t="s">
        <v>909</v>
      </c>
      <c r="B22" s="145" t="s">
        <v>668</v>
      </c>
      <c r="C22" s="146" t="s">
        <v>600</v>
      </c>
      <c r="D22" s="144" t="s">
        <v>669</v>
      </c>
      <c r="E22" s="144" t="s">
        <v>670</v>
      </c>
      <c r="F22" s="144" t="s">
        <v>162</v>
      </c>
      <c r="G22" s="147" t="n">
        <v>48008</v>
      </c>
      <c r="H22" s="146" t="s">
        <v>38</v>
      </c>
      <c r="I22" s="146"/>
      <c r="J22" s="144" t="s">
        <v>603</v>
      </c>
      <c r="K22" s="146"/>
      <c r="L22" s="146"/>
      <c r="M22" s="148"/>
    </row>
    <row r="23" customFormat="false" ht="21" hidden="false" customHeight="true" outlineLevel="0" collapsed="false">
      <c r="A23" s="139" t="s">
        <v>909</v>
      </c>
      <c r="B23" s="140" t="s">
        <v>920</v>
      </c>
      <c r="C23" s="141" t="s">
        <v>159</v>
      </c>
      <c r="D23" s="139" t="s">
        <v>921</v>
      </c>
      <c r="E23" s="139" t="s">
        <v>922</v>
      </c>
      <c r="F23" s="139" t="s">
        <v>162</v>
      </c>
      <c r="G23" s="142" t="n">
        <v>48104</v>
      </c>
      <c r="H23" s="141" t="s">
        <v>38</v>
      </c>
      <c r="I23" s="141"/>
      <c r="J23" s="139" t="s">
        <v>603</v>
      </c>
      <c r="K23" s="141"/>
      <c r="L23" s="141"/>
      <c r="M23" s="143"/>
    </row>
    <row r="24" customFormat="false" ht="21" hidden="false" customHeight="true" outlineLevel="0" collapsed="false">
      <c r="A24" s="144" t="s">
        <v>909</v>
      </c>
      <c r="B24" s="145" t="s">
        <v>281</v>
      </c>
      <c r="C24" s="146" t="s">
        <v>176</v>
      </c>
      <c r="D24" s="144" t="s">
        <v>923</v>
      </c>
      <c r="E24" s="144" t="s">
        <v>924</v>
      </c>
      <c r="F24" s="144" t="s">
        <v>162</v>
      </c>
      <c r="G24" s="147" t="n">
        <v>48008</v>
      </c>
      <c r="H24" s="146" t="s">
        <v>38</v>
      </c>
      <c r="I24" s="146"/>
      <c r="J24" s="144" t="s">
        <v>603</v>
      </c>
      <c r="K24" s="146"/>
      <c r="L24" s="146"/>
      <c r="M24" s="148"/>
    </row>
    <row r="25" customFormat="false" ht="21" hidden="false" customHeight="true" outlineLevel="0" collapsed="false">
      <c r="A25" s="139" t="s">
        <v>909</v>
      </c>
      <c r="B25" s="140" t="s">
        <v>672</v>
      </c>
      <c r="C25" s="141" t="s">
        <v>506</v>
      </c>
      <c r="D25" s="139" t="s">
        <v>673</v>
      </c>
      <c r="E25" s="139" t="s">
        <v>674</v>
      </c>
      <c r="F25" s="139" t="s">
        <v>162</v>
      </c>
      <c r="G25" s="153" t="s">
        <v>675</v>
      </c>
      <c r="H25" s="141" t="s">
        <v>38</v>
      </c>
      <c r="I25" s="141"/>
      <c r="J25" s="139" t="s">
        <v>603</v>
      </c>
      <c r="K25" s="141"/>
      <c r="L25" s="141"/>
      <c r="M25" s="143"/>
    </row>
    <row r="26" customFormat="false" ht="21" hidden="false" customHeight="true" outlineLevel="0" collapsed="false">
      <c r="A26" s="144" t="s">
        <v>909</v>
      </c>
      <c r="B26" s="145" t="s">
        <v>677</v>
      </c>
      <c r="C26" s="146" t="s">
        <v>250</v>
      </c>
      <c r="D26" s="144" t="s">
        <v>678</v>
      </c>
      <c r="E26" s="144" t="s">
        <v>679</v>
      </c>
      <c r="F26" s="144" t="s">
        <v>162</v>
      </c>
      <c r="G26" s="147" t="n">
        <v>46730</v>
      </c>
      <c r="H26" s="146" t="s">
        <v>38</v>
      </c>
      <c r="I26" s="146"/>
      <c r="J26" s="144" t="s">
        <v>603</v>
      </c>
      <c r="K26" s="146"/>
      <c r="L26" s="146"/>
      <c r="M26" s="148"/>
    </row>
    <row r="27" customFormat="false" ht="21" hidden="false" customHeight="true" outlineLevel="0" collapsed="false">
      <c r="A27" s="139" t="s">
        <v>909</v>
      </c>
      <c r="B27" s="140" t="s">
        <v>614</v>
      </c>
      <c r="C27" s="141" t="s">
        <v>250</v>
      </c>
      <c r="D27" s="139" t="s">
        <v>615</v>
      </c>
      <c r="E27" s="139" t="s">
        <v>616</v>
      </c>
      <c r="F27" s="139" t="s">
        <v>162</v>
      </c>
      <c r="G27" s="142" t="n">
        <v>46748</v>
      </c>
      <c r="H27" s="141" t="s">
        <v>38</v>
      </c>
      <c r="I27" s="141"/>
      <c r="J27" s="139" t="s">
        <v>603</v>
      </c>
      <c r="K27" s="141"/>
      <c r="L27" s="141"/>
      <c r="M27" s="143"/>
    </row>
    <row r="28" customFormat="false" ht="21" hidden="false" customHeight="true" outlineLevel="0" collapsed="false">
      <c r="A28" s="144" t="s">
        <v>909</v>
      </c>
      <c r="B28" s="145" t="s">
        <v>681</v>
      </c>
      <c r="C28" s="146" t="s">
        <v>250</v>
      </c>
      <c r="D28" s="144" t="s">
        <v>682</v>
      </c>
      <c r="E28" s="144" t="s">
        <v>683</v>
      </c>
      <c r="F28" s="144" t="s">
        <v>162</v>
      </c>
      <c r="G28" s="147" t="n">
        <v>46731</v>
      </c>
      <c r="H28" s="146" t="s">
        <v>38</v>
      </c>
      <c r="I28" s="146"/>
      <c r="J28" s="144" t="s">
        <v>603</v>
      </c>
      <c r="K28" s="146"/>
      <c r="L28" s="146"/>
      <c r="M28" s="148"/>
    </row>
    <row r="29" customFormat="false" ht="21" hidden="false" customHeight="true" outlineLevel="0" collapsed="false">
      <c r="A29" s="139" t="s">
        <v>909</v>
      </c>
      <c r="B29" s="140" t="s">
        <v>685</v>
      </c>
      <c r="C29" s="141" t="s">
        <v>176</v>
      </c>
      <c r="D29" s="139" t="s">
        <v>686</v>
      </c>
      <c r="E29" s="139" t="s">
        <v>687</v>
      </c>
      <c r="F29" s="139" t="s">
        <v>162</v>
      </c>
      <c r="G29" s="142" t="n">
        <v>48000</v>
      </c>
      <c r="H29" s="141" t="s">
        <v>38</v>
      </c>
      <c r="I29" s="141"/>
      <c r="J29" s="139" t="s">
        <v>603</v>
      </c>
      <c r="K29" s="141"/>
      <c r="L29" s="141"/>
      <c r="M29" s="143"/>
    </row>
    <row r="30" customFormat="false" ht="21" hidden="false" customHeight="true" outlineLevel="0" collapsed="false">
      <c r="A30" s="144" t="s">
        <v>909</v>
      </c>
      <c r="B30" s="145" t="s">
        <v>689</v>
      </c>
      <c r="C30" s="146" t="s">
        <v>250</v>
      </c>
      <c r="D30" s="144" t="s">
        <v>690</v>
      </c>
      <c r="E30" s="144" t="s">
        <v>691</v>
      </c>
      <c r="F30" s="144" t="s">
        <v>162</v>
      </c>
      <c r="G30" s="147" t="n">
        <v>46907</v>
      </c>
      <c r="H30" s="146" t="s">
        <v>38</v>
      </c>
      <c r="I30" s="146"/>
      <c r="J30" s="144" t="s">
        <v>603</v>
      </c>
      <c r="K30" s="146"/>
      <c r="L30" s="146"/>
      <c r="M30" s="148"/>
    </row>
    <row r="31" customFormat="false" ht="21" hidden="false" customHeight="true" outlineLevel="0" collapsed="false">
      <c r="A31" s="139" t="s">
        <v>909</v>
      </c>
      <c r="B31" s="140" t="s">
        <v>925</v>
      </c>
      <c r="C31" s="141" t="s">
        <v>600</v>
      </c>
      <c r="D31" s="139" t="s">
        <v>601</v>
      </c>
      <c r="E31" s="139" t="s">
        <v>602</v>
      </c>
      <c r="F31" s="139" t="s">
        <v>162</v>
      </c>
      <c r="G31" s="142" t="n">
        <v>48000</v>
      </c>
      <c r="H31" s="141" t="s">
        <v>38</v>
      </c>
      <c r="I31" s="141"/>
      <c r="J31" s="139" t="s">
        <v>603</v>
      </c>
      <c r="K31" s="141"/>
      <c r="L31" s="141"/>
      <c r="M31" s="143"/>
    </row>
    <row r="32" customFormat="false" ht="21" hidden="false" customHeight="true" outlineLevel="0" collapsed="false">
      <c r="A32" s="144" t="s">
        <v>909</v>
      </c>
      <c r="B32" s="145" t="s">
        <v>693</v>
      </c>
      <c r="C32" s="146" t="s">
        <v>600</v>
      </c>
      <c r="D32" s="144" t="s">
        <v>694</v>
      </c>
      <c r="E32" s="144" t="s">
        <v>695</v>
      </c>
      <c r="F32" s="144" t="s">
        <v>162</v>
      </c>
      <c r="G32" s="147" t="n">
        <v>46466</v>
      </c>
      <c r="H32" s="146" t="s">
        <v>38</v>
      </c>
      <c r="I32" s="146"/>
      <c r="J32" s="144" t="s">
        <v>603</v>
      </c>
      <c r="K32" s="146"/>
      <c r="L32" s="146"/>
      <c r="M32" s="148"/>
    </row>
  </sheetData>
  <mergeCells count="2">
    <mergeCell ref="B1:D1"/>
    <mergeCell ref="H1:M1"/>
  </mergeCells>
  <conditionalFormatting sqref="B1:B1048576">
    <cfRule type="duplicateValues" priority="2" aboveAverage="0" equalAverage="0" bottom="0" percent="0" rank="0" text="" dxfId="34"/>
  </conditionalFormatting>
  <conditionalFormatting sqref="F3:F32">
    <cfRule type="expression" priority="3" aboveAverage="0" equalAverage="0" bottom="0" percent="0" rank="0" text="" dxfId="11">
      <formula>ISNUMBER(SEARCH("Aprovado",$F3))</formula>
    </cfRule>
    <cfRule type="expression" priority="4" aboveAverage="0" equalAverage="0" bottom="0" percent="0" rank="0" text="" dxfId="8">
      <formula>ISNUMBER(SEARCH("Revis",$F3))</formula>
    </cfRule>
    <cfRule type="expression" priority="5" aboveAverage="0" equalAverage="0" bottom="0" percent="0" rank="0" text="" dxfId="8">
      <formula>ISNUMBER(SEARCH("Elabora",$F3))</formula>
    </cfRule>
    <cfRule type="expression" priority="6" aboveAverage="0" equalAverage="0" bottom="0" percent="0" rank="0" text="" dxfId="10">
      <formula>ISNUMBER(SEARCH("Cancel",$F3))</formula>
    </cfRule>
    <cfRule type="expression" priority="7" aboveAverage="0" equalAverage="0" bottom="0" percent="0" rank="0" text="" dxfId="10">
      <formula>ISNUMBER(SEARCH("Fora",$F3))</formula>
    </cfRule>
    <cfRule type="expression" priority="8" aboveAverage="0" equalAverage="0" bottom="0" percent="0" rank="0" text="" dxfId="7">
      <formula>ISNUMBER(SEARCH("Não encontrado",$F3))</formula>
    </cfRule>
    <cfRule type="expression" priority="9" aboveAverage="0" equalAverage="0" bottom="0" percent="0" rank="0" text="" dxfId="7">
      <formula>ISNUMBER(SEARCH("Avai",$F3))</formula>
    </cfRule>
  </conditionalFormatting>
  <conditionalFormatting sqref="G3:G32">
    <cfRule type="expression" priority="10" aboveAverage="0" equalAverage="0" bottom="0" percent="0" rank="0" text="" dxfId="7">
      <formula>AND(ISNUMBER($G3),$G3&lt;DataRef,ISNUMBER(SEARCH("Aprovado",$F3)))</formula>
    </cfRule>
    <cfRule type="expression" priority="11" aboveAverage="0" equalAverage="0" bottom="0" percent="0" rank="0" text="" dxfId="8">
      <formula>AND(ISNUMBER($G3),$G3&gt;=DataRef,$G3&lt;=EDATE(DataRef,12),ISNUMBER(SEARCH("Aprovado",$F3)))</formula>
    </cfRule>
  </conditionalFormatting>
  <hyperlinks>
    <hyperlink ref="E1" location="'INÍCIO'!A1" display="⌂  Início"/>
    <hyperlink ref="F1" location="'DASHBOARD EXECUTIVO'!A1" display="▦  Dashboard"/>
    <hyperlink ref="G1" location="'PESQUISA'!A1" display="⌕  Pesquis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85"/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133" width="23"/>
    <col collapsed="false" customWidth="true" hidden="false" outlineLevel="0" max="3" min="3" style="133" width="10"/>
    <col collapsed="false" customWidth="true" hidden="false" outlineLevel="0" max="4" min="4" style="133" width="16"/>
    <col collapsed="false" customWidth="true" hidden="false" outlineLevel="0" max="5" min="5" style="0" width="70"/>
    <col collapsed="false" customWidth="true" hidden="false" outlineLevel="0" max="7" min="6" style="133" width="14"/>
    <col collapsed="false" customWidth="true" hidden="false" outlineLevel="0" max="8" min="8" style="133" width="10"/>
    <col collapsed="false" customWidth="true" hidden="false" outlineLevel="0" max="9" min="9" style="0" width="12.9"/>
    <col collapsed="false" customWidth="true" hidden="false" outlineLevel="0" max="10" min="10" style="0" width="33"/>
    <col collapsed="false" customWidth="true" hidden="false" outlineLevel="0" max="11" min="11" style="0" width="70"/>
    <col collapsed="false" customWidth="true" hidden="false" outlineLevel="0" max="12" min="12" style="0" width="12.9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34"/>
      <c r="B1" s="135" t="s">
        <v>904</v>
      </c>
      <c r="C1" s="135"/>
      <c r="D1" s="135"/>
      <c r="E1" s="55" t="s">
        <v>64</v>
      </c>
      <c r="F1" s="55" t="s">
        <v>65</v>
      </c>
      <c r="G1" s="55" t="s">
        <v>66</v>
      </c>
      <c r="H1" s="136" t="str">
        <f aca="false">COUNTA($B$3:$B$13)&amp;" registros  ·  "&amp;COUNTIFS($F$3:$F$13,"Aprovado*",$G$3:$G$13,"&lt;"&amp;DataRef)&amp;" vencido(s)  ·  "&amp;COUNTIFS($F$3:$F$13,"Aprovado*",$G$3:$G$13,"&gt;="&amp;DataRef,$G$3:$G$13,"&lt;="&amp;EDATE(DataRef,12))&amp;" vencem em 12 meses"</f>
        <v>11 registros  ·  1 vencido(s)  ·  3 vencem em 12 meses</v>
      </c>
      <c r="I1" s="136"/>
      <c r="J1" s="136"/>
      <c r="K1" s="136"/>
      <c r="L1" s="136"/>
      <c r="M1" s="136"/>
    </row>
    <row r="2" s="138" customFormat="true" ht="31.5" hidden="false" customHeight="true" outlineLevel="0" collapsed="false">
      <c r="A2" s="105" t="s">
        <v>905</v>
      </c>
      <c r="B2" s="105" t="s">
        <v>906</v>
      </c>
      <c r="C2" s="105" t="s">
        <v>132</v>
      </c>
      <c r="D2" s="105" t="s">
        <v>140</v>
      </c>
      <c r="E2" s="105" t="s">
        <v>87</v>
      </c>
      <c r="F2" s="105" t="s">
        <v>907</v>
      </c>
      <c r="G2" s="105" t="s">
        <v>134</v>
      </c>
      <c r="H2" s="105" t="s">
        <v>88</v>
      </c>
      <c r="I2" s="105" t="s">
        <v>142</v>
      </c>
      <c r="J2" s="105" t="s">
        <v>908</v>
      </c>
      <c r="K2" s="105" t="s">
        <v>143</v>
      </c>
      <c r="L2" s="105" t="s">
        <v>144</v>
      </c>
      <c r="M2" s="137"/>
    </row>
    <row r="3" customFormat="false" ht="21" hidden="false" customHeight="true" outlineLevel="0" collapsed="false">
      <c r="A3" s="139" t="s">
        <v>909</v>
      </c>
      <c r="B3" s="140" t="s">
        <v>697</v>
      </c>
      <c r="C3" s="141" t="s">
        <v>159</v>
      </c>
      <c r="D3" s="139" t="s">
        <v>698</v>
      </c>
      <c r="E3" s="139" t="s">
        <v>699</v>
      </c>
      <c r="F3" s="139" t="s">
        <v>162</v>
      </c>
      <c r="G3" s="142" t="n">
        <v>47818</v>
      </c>
      <c r="H3" s="139" t="s">
        <v>108</v>
      </c>
      <c r="I3" s="141"/>
      <c r="J3" s="139" t="s">
        <v>700</v>
      </c>
      <c r="K3" s="141"/>
      <c r="L3" s="141"/>
      <c r="M3" s="143"/>
    </row>
    <row r="4" customFormat="false" ht="21" hidden="false" customHeight="true" outlineLevel="0" collapsed="false">
      <c r="A4" s="144" t="s">
        <v>909</v>
      </c>
      <c r="B4" s="145" t="s">
        <v>702</v>
      </c>
      <c r="C4" s="146" t="s">
        <v>176</v>
      </c>
      <c r="D4" s="144" t="s">
        <v>703</v>
      </c>
      <c r="E4" s="144" t="s">
        <v>704</v>
      </c>
      <c r="F4" s="144" t="s">
        <v>162</v>
      </c>
      <c r="G4" s="147" t="n">
        <v>47987</v>
      </c>
      <c r="H4" s="144" t="s">
        <v>108</v>
      </c>
      <c r="I4" s="146"/>
      <c r="J4" s="144" t="s">
        <v>169</v>
      </c>
      <c r="K4" s="146"/>
      <c r="L4" s="146"/>
      <c r="M4" s="148"/>
    </row>
    <row r="5" customFormat="false" ht="21" hidden="false" customHeight="true" outlineLevel="0" collapsed="false">
      <c r="A5" s="139" t="s">
        <v>909</v>
      </c>
      <c r="B5" s="140" t="s">
        <v>706</v>
      </c>
      <c r="C5" s="141" t="s">
        <v>191</v>
      </c>
      <c r="D5" s="139" t="s">
        <v>707</v>
      </c>
      <c r="E5" s="139" t="s">
        <v>708</v>
      </c>
      <c r="F5" s="139" t="s">
        <v>460</v>
      </c>
      <c r="G5" s="142" t="n">
        <v>47987</v>
      </c>
      <c r="H5" s="139" t="s">
        <v>108</v>
      </c>
      <c r="I5" s="141"/>
      <c r="J5" s="139" t="s">
        <v>169</v>
      </c>
      <c r="K5" s="139" t="s">
        <v>709</v>
      </c>
      <c r="L5" s="141"/>
      <c r="M5" s="143"/>
    </row>
    <row r="6" customFormat="false" ht="21" hidden="false" customHeight="true" outlineLevel="0" collapsed="false">
      <c r="A6" s="144" t="s">
        <v>909</v>
      </c>
      <c r="B6" s="145" t="s">
        <v>711</v>
      </c>
      <c r="C6" s="146" t="s">
        <v>176</v>
      </c>
      <c r="D6" s="144" t="s">
        <v>712</v>
      </c>
      <c r="E6" s="144" t="s">
        <v>713</v>
      </c>
      <c r="F6" s="144" t="s">
        <v>162</v>
      </c>
      <c r="G6" s="147" t="n">
        <v>46536</v>
      </c>
      <c r="H6" s="144" t="s">
        <v>108</v>
      </c>
      <c r="I6" s="146"/>
      <c r="J6" s="144" t="s">
        <v>163</v>
      </c>
      <c r="K6" s="146"/>
      <c r="L6" s="146"/>
      <c r="M6" s="148"/>
    </row>
    <row r="7" customFormat="false" ht="21" hidden="false" customHeight="true" outlineLevel="0" collapsed="false">
      <c r="A7" s="139" t="s">
        <v>909</v>
      </c>
      <c r="B7" s="140" t="s">
        <v>715</v>
      </c>
      <c r="C7" s="141" t="s">
        <v>235</v>
      </c>
      <c r="D7" s="139" t="s">
        <v>716</v>
      </c>
      <c r="E7" s="139" t="s">
        <v>717</v>
      </c>
      <c r="F7" s="139" t="s">
        <v>162</v>
      </c>
      <c r="G7" s="142" t="n">
        <v>46278</v>
      </c>
      <c r="H7" s="139" t="s">
        <v>108</v>
      </c>
      <c r="I7" s="141"/>
      <c r="J7" s="139" t="s">
        <v>163</v>
      </c>
      <c r="K7" s="141"/>
      <c r="L7" s="141"/>
      <c r="M7" s="143"/>
    </row>
    <row r="8" customFormat="false" ht="21" hidden="false" customHeight="true" outlineLevel="0" collapsed="false">
      <c r="A8" s="144" t="s">
        <v>909</v>
      </c>
      <c r="B8" s="145" t="s">
        <v>719</v>
      </c>
      <c r="C8" s="146" t="s">
        <v>720</v>
      </c>
      <c r="D8" s="144" t="s">
        <v>721</v>
      </c>
      <c r="E8" s="144" t="s">
        <v>722</v>
      </c>
      <c r="F8" s="144" t="s">
        <v>162</v>
      </c>
      <c r="G8" s="147" t="n">
        <v>48014</v>
      </c>
      <c r="H8" s="144" t="s">
        <v>108</v>
      </c>
      <c r="I8" s="146"/>
      <c r="J8" s="144" t="s">
        <v>169</v>
      </c>
      <c r="K8" s="146"/>
      <c r="L8" s="146"/>
      <c r="M8" s="148"/>
    </row>
    <row r="9" customFormat="false" ht="21" hidden="false" customHeight="true" outlineLevel="0" collapsed="false">
      <c r="A9" s="139" t="s">
        <v>909</v>
      </c>
      <c r="B9" s="140" t="s">
        <v>724</v>
      </c>
      <c r="C9" s="141" t="s">
        <v>600</v>
      </c>
      <c r="D9" s="139" t="s">
        <v>725</v>
      </c>
      <c r="E9" s="139" t="s">
        <v>726</v>
      </c>
      <c r="F9" s="139" t="s">
        <v>162</v>
      </c>
      <c r="G9" s="142" t="n">
        <v>46466</v>
      </c>
      <c r="H9" s="139" t="s">
        <v>108</v>
      </c>
      <c r="I9" s="141"/>
      <c r="J9" s="139" t="s">
        <v>163</v>
      </c>
      <c r="K9" s="141"/>
      <c r="L9" s="141"/>
      <c r="M9" s="143"/>
    </row>
    <row r="10" customFormat="false" ht="21" hidden="false" customHeight="true" outlineLevel="0" collapsed="false">
      <c r="A10" s="144" t="s">
        <v>909</v>
      </c>
      <c r="B10" s="145" t="s">
        <v>728</v>
      </c>
      <c r="C10" s="146" t="s">
        <v>600</v>
      </c>
      <c r="D10" s="144" t="s">
        <v>729</v>
      </c>
      <c r="E10" s="144" t="s">
        <v>730</v>
      </c>
      <c r="F10" s="144" t="s">
        <v>162</v>
      </c>
      <c r="G10" s="147" t="n">
        <v>46482</v>
      </c>
      <c r="H10" s="144" t="s">
        <v>108</v>
      </c>
      <c r="I10" s="146"/>
      <c r="J10" s="144" t="s">
        <v>163</v>
      </c>
      <c r="K10" s="146"/>
      <c r="L10" s="146"/>
      <c r="M10" s="148"/>
    </row>
    <row r="11" customFormat="false" ht="21" hidden="false" customHeight="true" outlineLevel="0" collapsed="false">
      <c r="A11" s="139" t="s">
        <v>909</v>
      </c>
      <c r="B11" s="140" t="s">
        <v>732</v>
      </c>
      <c r="C11" s="141" t="s">
        <v>176</v>
      </c>
      <c r="D11" s="139" t="s">
        <v>733</v>
      </c>
      <c r="E11" s="139" t="s">
        <v>734</v>
      </c>
      <c r="F11" s="139" t="s">
        <v>460</v>
      </c>
      <c r="G11" s="142" t="n">
        <v>47987</v>
      </c>
      <c r="H11" s="139" t="s">
        <v>108</v>
      </c>
      <c r="I11" s="141"/>
      <c r="J11" s="139" t="s">
        <v>169</v>
      </c>
      <c r="K11" s="141"/>
      <c r="L11" s="141"/>
      <c r="M11" s="143"/>
    </row>
    <row r="12" customFormat="false" ht="21" hidden="false" customHeight="true" outlineLevel="0" collapsed="false">
      <c r="A12" s="144" t="s">
        <v>909</v>
      </c>
      <c r="B12" s="145" t="s">
        <v>736</v>
      </c>
      <c r="C12" s="146" t="s">
        <v>159</v>
      </c>
      <c r="D12" s="144" t="s">
        <v>737</v>
      </c>
      <c r="E12" s="144" t="s">
        <v>738</v>
      </c>
      <c r="F12" s="144" t="s">
        <v>162</v>
      </c>
      <c r="G12" s="147" t="n">
        <v>48014</v>
      </c>
      <c r="H12" s="144" t="s">
        <v>108</v>
      </c>
      <c r="I12" s="146"/>
      <c r="J12" s="144" t="s">
        <v>163</v>
      </c>
      <c r="K12" s="146"/>
      <c r="L12" s="146"/>
      <c r="M12" s="148"/>
    </row>
    <row r="13" customFormat="false" ht="21" hidden="false" customHeight="true" outlineLevel="0" collapsed="false">
      <c r="A13" s="139" t="s">
        <v>909</v>
      </c>
      <c r="B13" s="140" t="s">
        <v>740</v>
      </c>
      <c r="C13" s="141" t="s">
        <v>506</v>
      </c>
      <c r="D13" s="139" t="s">
        <v>741</v>
      </c>
      <c r="E13" s="139" t="s">
        <v>742</v>
      </c>
      <c r="F13" s="139" t="s">
        <v>162</v>
      </c>
      <c r="G13" s="142" t="n">
        <v>48023</v>
      </c>
      <c r="H13" s="139" t="s">
        <v>108</v>
      </c>
      <c r="I13" s="141"/>
      <c r="J13" s="139" t="s">
        <v>163</v>
      </c>
      <c r="K13" s="141"/>
      <c r="L13" s="141"/>
      <c r="M13" s="143"/>
    </row>
    <row r="14" customFormat="false" ht="18" hidden="false" customHeight="true" outlineLevel="0" collapsed="false"/>
    <row r="15" customFormat="false" ht="18" hidden="false" customHeight="true" outlineLevel="0" collapsed="false"/>
  </sheetData>
  <mergeCells count="2">
    <mergeCell ref="B1:D1"/>
    <mergeCell ref="H1:M1"/>
  </mergeCells>
  <conditionalFormatting sqref="F3:F13">
    <cfRule type="expression" priority="2" aboveAverage="0" equalAverage="0" bottom="0" percent="0" rank="0" text="" dxfId="11">
      <formula>ISNUMBER(SEARCH("Aprovado",$F3))</formula>
    </cfRule>
    <cfRule type="expression" priority="3" aboveAverage="0" equalAverage="0" bottom="0" percent="0" rank="0" text="" dxfId="8">
      <formula>ISNUMBER(SEARCH("Revis",$F3))</formula>
    </cfRule>
    <cfRule type="expression" priority="4" aboveAverage="0" equalAverage="0" bottom="0" percent="0" rank="0" text="" dxfId="8">
      <formula>ISNUMBER(SEARCH("Elabora",$F3))</formula>
    </cfRule>
    <cfRule type="expression" priority="5" aboveAverage="0" equalAverage="0" bottom="0" percent="0" rank="0" text="" dxfId="10">
      <formula>ISNUMBER(SEARCH("Cancel",$F3))</formula>
    </cfRule>
    <cfRule type="expression" priority="6" aboveAverage="0" equalAverage="0" bottom="0" percent="0" rank="0" text="" dxfId="10">
      <formula>ISNUMBER(SEARCH("Fora",$F3))</formula>
    </cfRule>
    <cfRule type="expression" priority="7" aboveAverage="0" equalAverage="0" bottom="0" percent="0" rank="0" text="" dxfId="7">
      <formula>ISNUMBER(SEARCH("Não encontrado",$F3))</formula>
    </cfRule>
    <cfRule type="expression" priority="8" aboveAverage="0" equalAverage="0" bottom="0" percent="0" rank="0" text="" dxfId="7">
      <formula>ISNUMBER(SEARCH("Avai",$F3))</formula>
    </cfRule>
  </conditionalFormatting>
  <conditionalFormatting sqref="G3:G13">
    <cfRule type="expression" priority="9" aboveAverage="0" equalAverage="0" bottom="0" percent="0" rank="0" text="" dxfId="7">
      <formula>AND(ISNUMBER($G3),$G3&lt;DataRef,ISNUMBER(SEARCH("Aprovado",$F3)))</formula>
    </cfRule>
    <cfRule type="expression" priority="10" aboveAverage="0" equalAverage="0" bottom="0" percent="0" rank="0" text="" dxfId="8">
      <formula>AND(ISNUMBER($G3),$G3&gt;=DataRef,$G3&lt;=EDATE(DataRef,12),ISNUMBER(SEARCH("Aprovado",$F3)))</formula>
    </cfRule>
  </conditionalFormatting>
  <hyperlinks>
    <hyperlink ref="E1" location="'INÍCIO'!A1" display="⌂  Início"/>
    <hyperlink ref="F1" location="'DASHBOARD EXECUTIVO'!A1" display="▦  Dashboard"/>
    <hyperlink ref="G1" location="'PESQUISA'!A1" display="⌕  Pesquis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85"/>
    <pageSetUpPr fitToPage="tru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1.5"/>
    <col collapsed="false" customWidth="true" hidden="false" outlineLevel="0" max="14" min="14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1"/>
      <c r="B2" s="91" t="s">
        <v>926</v>
      </c>
      <c r="C2" s="91"/>
      <c r="D2" s="91"/>
      <c r="E2" s="91"/>
      <c r="F2" s="91"/>
      <c r="G2" s="91"/>
      <c r="H2" s="91"/>
      <c r="I2" s="91"/>
      <c r="J2" s="91"/>
      <c r="K2" s="3"/>
      <c r="L2" s="3"/>
      <c r="M2" s="3"/>
      <c r="N2" s="1"/>
    </row>
    <row r="3" customFormat="false" ht="19.5" hidden="false" customHeight="true" outlineLevel="0" collapsed="false">
      <c r="A3" s="1"/>
      <c r="B3" s="52" t="s">
        <v>927</v>
      </c>
      <c r="C3" s="52"/>
      <c r="D3" s="52"/>
      <c r="E3" s="52"/>
      <c r="F3" s="52"/>
      <c r="G3" s="52"/>
      <c r="H3" s="52"/>
      <c r="I3" s="52"/>
      <c r="J3" s="52"/>
      <c r="K3" s="3"/>
      <c r="L3" s="3"/>
      <c r="M3" s="3"/>
      <c r="N3" s="1"/>
    </row>
    <row r="4" customFormat="false" ht="27.75" hidden="false" customHeight="true" outlineLevel="0" collapsed="false">
      <c r="A4" s="1"/>
      <c r="B4" s="39" t="s">
        <v>64</v>
      </c>
      <c r="C4" s="39"/>
      <c r="D4" s="39" t="s">
        <v>65</v>
      </c>
      <c r="E4" s="39"/>
      <c r="F4" s="39" t="s">
        <v>66</v>
      </c>
      <c r="G4" s="39"/>
      <c r="H4" s="39" t="s">
        <v>67</v>
      </c>
      <c r="I4" s="39"/>
      <c r="J4" s="39" t="s">
        <v>68</v>
      </c>
      <c r="K4" s="39"/>
      <c r="L4" s="92" t="s">
        <v>69</v>
      </c>
      <c r="M4" s="92"/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25.5" hidden="false" customHeight="true" outlineLevel="0" collapsed="false">
      <c r="A6" s="1"/>
      <c r="B6" s="154" t="s">
        <v>928</v>
      </c>
      <c r="C6" s="154"/>
      <c r="D6" s="154"/>
      <c r="E6" s="154" t="s">
        <v>929</v>
      </c>
      <c r="F6" s="154"/>
      <c r="G6" s="154"/>
      <c r="H6" s="154" t="s">
        <v>930</v>
      </c>
      <c r="I6" s="154"/>
      <c r="J6" s="154"/>
      <c r="K6" s="154" t="s">
        <v>931</v>
      </c>
      <c r="L6" s="154"/>
      <c r="M6" s="154"/>
      <c r="N6" s="1"/>
    </row>
    <row r="7" customFormat="false" ht="39.75" hidden="false" customHeight="true" outlineLevel="0" collapsed="false">
      <c r="A7" s="1"/>
      <c r="B7" s="14" t="n">
        <f aca="false">COUNTA('NDocs FMG e ANX'!$B$3:$B$42)</f>
        <v>38</v>
      </c>
      <c r="C7" s="14"/>
      <c r="D7" s="14"/>
      <c r="E7" s="14" t="n">
        <f aca="false">COUNTA('Documentos Transversais'!$B$3:$B$57)</f>
        <v>51</v>
      </c>
      <c r="F7" s="14"/>
      <c r="G7" s="14"/>
      <c r="H7" s="14" t="n">
        <f aca="false">COUNTA(LPP!$A$3:$A$124)</f>
        <v>122</v>
      </c>
      <c r="I7" s="14"/>
      <c r="J7" s="14"/>
      <c r="K7" s="14" t="n">
        <f aca="false">COUNTA('AST AOL'!$A$3:$A$43)</f>
        <v>35</v>
      </c>
      <c r="L7" s="14"/>
      <c r="M7" s="14"/>
      <c r="N7" s="1"/>
    </row>
    <row r="8" customFormat="false" ht="13.5" hidden="false" customHeight="true" outlineLevel="0" collapsed="false">
      <c r="A8" s="1"/>
      <c r="B8" s="66" t="s">
        <v>932</v>
      </c>
      <c r="C8" s="66"/>
      <c r="D8" s="66"/>
      <c r="E8" s="66" t="s">
        <v>932</v>
      </c>
      <c r="F8" s="66"/>
      <c r="G8" s="66"/>
      <c r="H8" s="66" t="s">
        <v>932</v>
      </c>
      <c r="I8" s="66"/>
      <c r="J8" s="66"/>
      <c r="K8" s="66" t="s">
        <v>932</v>
      </c>
      <c r="L8" s="66"/>
      <c r="M8" s="66"/>
      <c r="N8" s="1"/>
    </row>
    <row r="9" customFormat="false" ht="31.5" hidden="false" customHeight="true" outlineLevel="0" collapsed="false">
      <c r="A9" s="1"/>
      <c r="B9" s="155" t="s">
        <v>933</v>
      </c>
      <c r="C9" s="155"/>
      <c r="D9" s="155"/>
      <c r="E9" s="155" t="s">
        <v>934</v>
      </c>
      <c r="F9" s="155"/>
      <c r="G9" s="155"/>
      <c r="H9" s="155" t="s">
        <v>935</v>
      </c>
      <c r="I9" s="155"/>
      <c r="J9" s="155"/>
      <c r="K9" s="155" t="s">
        <v>936</v>
      </c>
      <c r="L9" s="155"/>
      <c r="M9" s="155"/>
      <c r="N9" s="1"/>
    </row>
    <row r="10" customFormat="false" ht="21.75" hidden="false" customHeight="true" outlineLevel="0" collapsed="false">
      <c r="A10" s="1"/>
      <c r="B10" s="156" t="str">
        <f aca="false">IF(SUMPRODUCT(--ISERROR('NDocs FMG e ANX'!$A$3:$N$42))&gt;0,"⚠ "&amp;SUMPRODUCT(--ISERROR('NDocs FMG e ANX'!$A$3:$N$42))&amp;" erro(s) legado(s) na origem","✓ Sem erros de fórmula")</f>
        <v>✓ Sem erros de fórmula</v>
      </c>
      <c r="C10" s="156"/>
      <c r="D10" s="156"/>
      <c r="E10" s="156" t="str">
        <f aca="false">IF(SUMPRODUCT(--ISERROR('Documentos Transversais'!$A$3:$N$57))&gt;0,"⚠ "&amp;SUMPRODUCT(--ISERROR('Documentos Transversais'!$A$3:$N$57))&amp;" erro(s) legado(s) na origem","✓ Sem erros de fórmula")</f>
        <v>✓ Sem erros de fórmula</v>
      </c>
      <c r="F10" s="156"/>
      <c r="G10" s="156"/>
      <c r="H10" s="156" t="str">
        <f aca="false">IF(SUMPRODUCT(--ISERROR(LPP!$A$3:$N$124))&gt;0,"⚠ "&amp;SUMPRODUCT(--ISERROR(LPP!$A$3:$N$124))&amp;" erro(s) legado(s) na origem","✓ Sem erros de fórmula")</f>
        <v>⚠ 25 erro(s) legado(s) na origem</v>
      </c>
      <c r="I10" s="156"/>
      <c r="J10" s="156"/>
      <c r="K10" s="156" t="str">
        <f aca="false">IF(SUMPRODUCT(--ISERROR('AST AOL'!$A$3:$N$43))&gt;0,"⚠ "&amp;SUMPRODUCT(--ISERROR('AST AOL'!$A$3:$N$43))&amp;" erro(s) legado(s) na origem","✓ Sem erros de fórmula")</f>
        <v>✓ Sem erros de fórmula</v>
      </c>
      <c r="L10" s="156"/>
      <c r="M10" s="156"/>
      <c r="N10" s="1"/>
    </row>
    <row r="11" customFormat="false" ht="25.5" hidden="false" customHeight="true" outlineLevel="0" collapsed="false">
      <c r="A11" s="1"/>
      <c r="B11" s="39" t="s">
        <v>44</v>
      </c>
      <c r="C11" s="39"/>
      <c r="D11" s="39"/>
      <c r="E11" s="39" t="s">
        <v>44</v>
      </c>
      <c r="F11" s="39"/>
      <c r="G11" s="39"/>
      <c r="H11" s="39" t="s">
        <v>44</v>
      </c>
      <c r="I11" s="39"/>
      <c r="J11" s="39"/>
      <c r="K11" s="39" t="s">
        <v>44</v>
      </c>
      <c r="L11" s="39"/>
      <c r="M11" s="39"/>
      <c r="N11" s="1"/>
    </row>
    <row r="12" customFormat="false" ht="9.75" hidden="false" customHeight="true" outlineLevel="0" collapsed="false">
      <c r="A12" s="1"/>
      <c r="B12" s="20"/>
      <c r="C12" s="21"/>
      <c r="D12" s="22"/>
      <c r="E12" s="20"/>
      <c r="F12" s="21"/>
      <c r="G12" s="22"/>
      <c r="H12" s="20"/>
      <c r="I12" s="21"/>
      <c r="J12" s="22"/>
      <c r="K12" s="20"/>
      <c r="L12" s="21"/>
      <c r="M12" s="22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25.5" hidden="false" customHeight="true" outlineLevel="0" collapsed="false">
      <c r="A14" s="1"/>
      <c r="B14" s="154" t="s">
        <v>937</v>
      </c>
      <c r="C14" s="154"/>
      <c r="D14" s="154"/>
      <c r="E14" s="154" t="s">
        <v>938</v>
      </c>
      <c r="F14" s="154"/>
      <c r="G14" s="154"/>
      <c r="H14" s="154" t="s">
        <v>939</v>
      </c>
      <c r="I14" s="154"/>
      <c r="J14" s="154"/>
      <c r="K14" s="157" t="s">
        <v>940</v>
      </c>
      <c r="L14" s="157"/>
      <c r="M14" s="157"/>
      <c r="N14" s="1"/>
    </row>
    <row r="15" customFormat="false" ht="39.75" hidden="false" customHeight="true" outlineLevel="0" collapsed="false">
      <c r="A15" s="1"/>
      <c r="B15" s="14" t="n">
        <f aca="false">COUNTA('AST Geral'!$A$3:$A$43)</f>
        <v>23</v>
      </c>
      <c r="C15" s="14"/>
      <c r="D15" s="14"/>
      <c r="E15" s="14" t="n">
        <f aca="false">COUNTA('RT''s'!$B$3:$B$16)</f>
        <v>9</v>
      </c>
      <c r="F15" s="14"/>
      <c r="G15" s="14"/>
      <c r="H15" s="14" t="n">
        <f aca="false">COUNTA(MO!$B$3:$B$20)</f>
        <v>5</v>
      </c>
      <c r="I15" s="14"/>
      <c r="J15" s="14"/>
      <c r="K15" s="158" t="s">
        <v>941</v>
      </c>
      <c r="L15" s="158"/>
      <c r="M15" s="158"/>
      <c r="N15" s="1"/>
    </row>
    <row r="16" customFormat="false" ht="13.5" hidden="false" customHeight="true" outlineLevel="0" collapsed="false">
      <c r="A16" s="1"/>
      <c r="B16" s="66" t="s">
        <v>932</v>
      </c>
      <c r="C16" s="66"/>
      <c r="D16" s="66"/>
      <c r="E16" s="66" t="s">
        <v>932</v>
      </c>
      <c r="F16" s="66"/>
      <c r="G16" s="66"/>
      <c r="H16" s="66" t="s">
        <v>932</v>
      </c>
      <c r="I16" s="66"/>
      <c r="J16" s="66"/>
      <c r="K16" s="158"/>
      <c r="L16" s="158"/>
      <c r="M16" s="158"/>
      <c r="N16" s="1"/>
    </row>
    <row r="17" customFormat="false" ht="31.5" hidden="false" customHeight="true" outlineLevel="0" collapsed="false">
      <c r="A17" s="1"/>
      <c r="B17" s="155" t="s">
        <v>942</v>
      </c>
      <c r="C17" s="155"/>
      <c r="D17" s="155"/>
      <c r="E17" s="155" t="s">
        <v>943</v>
      </c>
      <c r="F17" s="155"/>
      <c r="G17" s="155"/>
      <c r="H17" s="155" t="s">
        <v>944</v>
      </c>
      <c r="I17" s="155"/>
      <c r="J17" s="155"/>
      <c r="K17" s="158"/>
      <c r="L17" s="158"/>
      <c r="M17" s="158"/>
      <c r="N17" s="1"/>
    </row>
    <row r="18" customFormat="false" ht="21.75" hidden="false" customHeight="true" outlineLevel="0" collapsed="false">
      <c r="A18" s="1"/>
      <c r="B18" s="156" t="str">
        <f aca="false">IF(SUMPRODUCT(--ISERROR('AST Geral'!$A$3:$N$43))&gt;0,"⚠ "&amp;SUMPRODUCT(--ISERROR('AST Geral'!$A$3:$N$43))&amp;" erro(s) legado(s) na origem","✓ Sem erros de fórmula")</f>
        <v>⚠ 1 erro(s) legado(s) na origem</v>
      </c>
      <c r="C18" s="156"/>
      <c r="D18" s="156"/>
      <c r="E18" s="156" t="str">
        <f aca="false">IF(SUMPRODUCT(--ISERROR('RT''s'!$A$3:$N$16))&gt;0,"⚠ "&amp;SUMPRODUCT(--ISERROR('RT''s'!$A$3:$N$16))&amp;" erro(s) legado(s) na origem","✓ Sem erros de fórmula")</f>
        <v>✓ Sem erros de fórmula</v>
      </c>
      <c r="F18" s="156"/>
      <c r="G18" s="156"/>
      <c r="H18" s="156" t="str">
        <f aca="false">IF(SUMPRODUCT(--ISERROR(MO!$A$3:$N$20))&gt;0,"⚠ "&amp;SUMPRODUCT(--ISERROR(MO!$A$3:$N$20))&amp;" erro(s) legado(s) na origem","✓ Sem erros de fórmula")</f>
        <v>✓ Sem erros de fórmula</v>
      </c>
      <c r="I18" s="156"/>
      <c r="J18" s="156"/>
      <c r="K18" s="158"/>
      <c r="L18" s="158"/>
      <c r="M18" s="158"/>
      <c r="N18" s="1"/>
    </row>
    <row r="19" customFormat="false" ht="25.5" hidden="false" customHeight="true" outlineLevel="0" collapsed="false">
      <c r="A19" s="1"/>
      <c r="B19" s="39" t="s">
        <v>44</v>
      </c>
      <c r="C19" s="39"/>
      <c r="D19" s="39"/>
      <c r="E19" s="39" t="s">
        <v>44</v>
      </c>
      <c r="F19" s="39"/>
      <c r="G19" s="39"/>
      <c r="H19" s="39" t="s">
        <v>44</v>
      </c>
      <c r="I19" s="39"/>
      <c r="J19" s="39"/>
      <c r="K19" s="39" t="s">
        <v>945</v>
      </c>
      <c r="L19" s="39"/>
      <c r="M19" s="39"/>
      <c r="N19" s="1"/>
    </row>
    <row r="20" customFormat="false" ht="9.75" hidden="false" customHeight="true" outlineLevel="0" collapsed="false">
      <c r="A20" s="1"/>
      <c r="B20" s="20"/>
      <c r="C20" s="21"/>
      <c r="D20" s="22"/>
      <c r="E20" s="20"/>
      <c r="F20" s="21"/>
      <c r="G20" s="22"/>
      <c r="H20" s="20"/>
      <c r="I20" s="21"/>
      <c r="J20" s="22"/>
      <c r="K20" s="159"/>
      <c r="L20" s="159"/>
      <c r="M20" s="159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</sheetData>
  <mergeCells count="53">
    <mergeCell ref="B2:J2"/>
    <mergeCell ref="B3:J3"/>
    <mergeCell ref="B4:C4"/>
    <mergeCell ref="D4:E4"/>
    <mergeCell ref="F4:G4"/>
    <mergeCell ref="H4:I4"/>
    <mergeCell ref="J4:K4"/>
    <mergeCell ref="L4:M4"/>
    <mergeCell ref="B6:D6"/>
    <mergeCell ref="E6:G6"/>
    <mergeCell ref="H6:J6"/>
    <mergeCell ref="K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4:D14"/>
    <mergeCell ref="E14:G14"/>
    <mergeCell ref="H14:J14"/>
    <mergeCell ref="K14:M14"/>
    <mergeCell ref="B15:D15"/>
    <mergeCell ref="E15:G15"/>
    <mergeCell ref="H15:J15"/>
    <mergeCell ref="K15:M18"/>
    <mergeCell ref="B16:D16"/>
    <mergeCell ref="E16:G16"/>
    <mergeCell ref="H16:J16"/>
    <mergeCell ref="B17:D17"/>
    <mergeCell ref="E17:G17"/>
    <mergeCell ref="H17:J17"/>
    <mergeCell ref="B18:D18"/>
    <mergeCell ref="E18:G18"/>
    <mergeCell ref="H18:J18"/>
    <mergeCell ref="B19:D19"/>
    <mergeCell ref="E19:G19"/>
    <mergeCell ref="H19:J19"/>
    <mergeCell ref="K19:M19"/>
  </mergeCells>
  <conditionalFormatting sqref="B10">
    <cfRule type="expression" priority="2" aboveAverage="0" equalAverage="0" bottom="0" percent="0" rank="0" text="" dxfId="6">
      <formula>LEFT(B10,1)="⚠"</formula>
    </cfRule>
  </conditionalFormatting>
  <conditionalFormatting sqref="E10">
    <cfRule type="expression" priority="3" aboveAverage="0" equalAverage="0" bottom="0" percent="0" rank="0" text="" dxfId="6">
      <formula>LEFT(E10,1)="⚠"</formula>
    </cfRule>
  </conditionalFormatting>
  <conditionalFormatting sqref="H10">
    <cfRule type="expression" priority="4" aboveAverage="0" equalAverage="0" bottom="0" percent="0" rank="0" text="" dxfId="6">
      <formula>LEFT(H10,1)="⚠"</formula>
    </cfRule>
  </conditionalFormatting>
  <conditionalFormatting sqref="K10">
    <cfRule type="expression" priority="5" aboveAverage="0" equalAverage="0" bottom="0" percent="0" rank="0" text="" dxfId="6">
      <formula>LEFT(K10,1)="⚠"</formula>
    </cfRule>
  </conditionalFormatting>
  <conditionalFormatting sqref="B18">
    <cfRule type="expression" priority="6" aboveAverage="0" equalAverage="0" bottom="0" percent="0" rank="0" text="" dxfId="6">
      <formula>LEFT(B18,1)="⚠"</formula>
    </cfRule>
  </conditionalFormatting>
  <conditionalFormatting sqref="E18">
    <cfRule type="expression" priority="7" aboveAverage="0" equalAverage="0" bottom="0" percent="0" rank="0" text="" dxfId="6">
      <formula>LEFT(E18,1)="⚠"</formula>
    </cfRule>
  </conditionalFormatting>
  <conditionalFormatting sqref="H18">
    <cfRule type="expression" priority="8" aboveAverage="0" equalAverage="0" bottom="0" percent="0" rank="0" text="" dxfId="6">
      <formula>LEFT(H18,1)="⚠"</formula>
    </cfRule>
  </conditionalFormatting>
  <hyperlinks>
    <hyperlink ref="B4" location="'INÍCIO'!A1" display="⌂  Início"/>
    <hyperlink ref="D4" location="'DASHBOARD EXECUTIVO'!A1" display="▦  Dashboard"/>
    <hyperlink ref="F4" location="'PESQUISA'!A1" display="⌕  Pesquisa"/>
    <hyperlink ref="H4" location="'BASE CONSOLIDADA'!A1" display="☰  Base"/>
    <hyperlink ref="J4" location="'QUALIDADE BASE'!A1" display="✓  Qualidade"/>
    <hyperlink ref="L4" location="'OUTROS CONTROLES'!A1" display="▤  Outros"/>
    <hyperlink ref="B11" location="'NDocs FMG e ANX'!A1" display="Abrir aba  ▸"/>
    <hyperlink ref="E11" location="'Documentos Transversais'!A1" display="Abrir aba  ▸"/>
    <hyperlink ref="H11" location="'LPP'!A1" display="Abrir aba  ▸"/>
    <hyperlink ref="K11" location="'AST AOL'!A1" display="Abrir aba  ▸"/>
    <hyperlink ref="B19" location="'AST Geral'!A1" display="Abrir aba  ▸"/>
    <hyperlink ref="E19" location="'RT''s'!A1" display="Abrir aba  ▸"/>
    <hyperlink ref="H19" location="'MO'!A1" display="Abrir aba  ▸"/>
    <hyperlink ref="K19" location="'QUALIDADE BASE'!A1" display="Qualidade da Base  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3"/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133" width="70"/>
    <col collapsed="false" customWidth="true" hidden="false" outlineLevel="0" max="3" min="3" style="133" width="14"/>
    <col collapsed="false" customWidth="true" hidden="false" outlineLevel="0" max="4" min="4" style="133" width="42"/>
    <col collapsed="false" customWidth="true" hidden="false" outlineLevel="0" max="5" min="5" style="0" width="70"/>
    <col collapsed="false" customWidth="true" hidden="false" outlineLevel="0" max="6" min="6" style="133" width="17"/>
    <col collapsed="false" customWidth="true" hidden="false" outlineLevel="0" max="7" min="7" style="133" width="14"/>
    <col collapsed="false" customWidth="true" hidden="false" outlineLevel="0" max="8" min="8" style="133" width="12"/>
    <col collapsed="false" customWidth="true" hidden="false" outlineLevel="0" max="9" min="9" style="0" width="12.9"/>
    <col collapsed="false" customWidth="true" hidden="false" outlineLevel="0" max="10" min="10" style="0" width="33"/>
    <col collapsed="false" customWidth="true" hidden="false" outlineLevel="0" max="11" min="11" style="0" width="20.1"/>
    <col collapsed="false" customWidth="true" hidden="false" outlineLevel="0" max="12" min="12" style="0" width="12.9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34"/>
      <c r="B1" s="160" t="s">
        <v>904</v>
      </c>
      <c r="C1" s="55" t="s">
        <v>64</v>
      </c>
      <c r="D1" s="55" t="s">
        <v>65</v>
      </c>
      <c r="E1" s="55" t="s">
        <v>69</v>
      </c>
      <c r="F1" s="136" t="str">
        <f aca="false">COUNTA($B$3:$B$42)&amp;" registros"</f>
        <v>38 registros</v>
      </c>
      <c r="G1" s="136"/>
      <c r="H1" s="136"/>
      <c r="I1" s="136"/>
      <c r="J1" s="136"/>
      <c r="K1" s="136"/>
      <c r="L1" s="136"/>
      <c r="M1" s="136"/>
    </row>
    <row r="2" s="161" customFormat="true" ht="31.5" hidden="false" customHeight="true" outlineLevel="0" collapsed="false">
      <c r="A2" s="105" t="s">
        <v>946</v>
      </c>
      <c r="B2" s="105" t="s">
        <v>906</v>
      </c>
      <c r="C2" s="105" t="s">
        <v>132</v>
      </c>
      <c r="D2" s="105" t="s">
        <v>140</v>
      </c>
      <c r="E2" s="105" t="s">
        <v>87</v>
      </c>
      <c r="F2" s="105" t="s">
        <v>907</v>
      </c>
      <c r="G2" s="105" t="s">
        <v>134</v>
      </c>
      <c r="H2" s="105" t="s">
        <v>88</v>
      </c>
      <c r="I2" s="105" t="s">
        <v>142</v>
      </c>
      <c r="J2" s="105" t="s">
        <v>947</v>
      </c>
      <c r="K2" s="105" t="s">
        <v>948</v>
      </c>
      <c r="L2" s="105" t="s">
        <v>144</v>
      </c>
      <c r="M2" s="137"/>
    </row>
    <row r="3" customFormat="false" ht="21" hidden="false" customHeight="true" outlineLevel="0" collapsed="false">
      <c r="A3" s="139" t="s">
        <v>949</v>
      </c>
      <c r="B3" s="140" t="s">
        <v>950</v>
      </c>
      <c r="C3" s="141" t="s">
        <v>506</v>
      </c>
      <c r="D3" s="139" t="s">
        <v>951</v>
      </c>
      <c r="E3" s="139" t="s">
        <v>952</v>
      </c>
      <c r="F3" s="139" t="s">
        <v>162</v>
      </c>
      <c r="G3" s="142" t="n">
        <v>48008</v>
      </c>
      <c r="H3" s="141" t="s">
        <v>107</v>
      </c>
      <c r="I3" s="141"/>
      <c r="J3" s="139" t="s">
        <v>169</v>
      </c>
      <c r="K3" s="141"/>
      <c r="L3" s="141"/>
      <c r="M3" s="143"/>
    </row>
    <row r="4" customFormat="false" ht="21" hidden="false" customHeight="true" outlineLevel="0" collapsed="false">
      <c r="A4" s="144" t="s">
        <v>949</v>
      </c>
      <c r="B4" s="145" t="s">
        <v>862</v>
      </c>
      <c r="C4" s="146" t="s">
        <v>506</v>
      </c>
      <c r="D4" s="144" t="s">
        <v>917</v>
      </c>
      <c r="E4" s="144" t="s">
        <v>953</v>
      </c>
      <c r="F4" s="144" t="s">
        <v>162</v>
      </c>
      <c r="G4" s="147" t="n">
        <v>46846</v>
      </c>
      <c r="H4" s="146" t="s">
        <v>38</v>
      </c>
      <c r="I4" s="146"/>
      <c r="J4" s="144" t="s">
        <v>169</v>
      </c>
      <c r="K4" s="146"/>
      <c r="L4" s="146"/>
      <c r="M4" s="148"/>
    </row>
    <row r="5" customFormat="false" ht="21" hidden="false" customHeight="true" outlineLevel="0" collapsed="false">
      <c r="A5" s="139" t="s">
        <v>949</v>
      </c>
      <c r="B5" s="140" t="s">
        <v>954</v>
      </c>
      <c r="C5" s="141" t="s">
        <v>250</v>
      </c>
      <c r="D5" s="139" t="s">
        <v>955</v>
      </c>
      <c r="E5" s="139" t="s">
        <v>956</v>
      </c>
      <c r="F5" s="139" t="s">
        <v>162</v>
      </c>
      <c r="G5" s="142" t="n">
        <v>46907</v>
      </c>
      <c r="H5" s="139" t="s">
        <v>108</v>
      </c>
      <c r="I5" s="141"/>
      <c r="J5" s="139" t="s">
        <v>163</v>
      </c>
      <c r="K5" s="141"/>
      <c r="L5" s="141"/>
      <c r="M5" s="143"/>
    </row>
    <row r="6" customFormat="false" ht="21" hidden="false" customHeight="true" outlineLevel="0" collapsed="false">
      <c r="A6" s="144" t="s">
        <v>949</v>
      </c>
      <c r="B6" s="145" t="s">
        <v>957</v>
      </c>
      <c r="C6" s="146" t="s">
        <v>176</v>
      </c>
      <c r="D6" s="144" t="s">
        <v>958</v>
      </c>
      <c r="E6" s="144" t="s">
        <v>959</v>
      </c>
      <c r="F6" s="144" t="s">
        <v>162</v>
      </c>
      <c r="G6" s="147" t="n">
        <v>46907</v>
      </c>
      <c r="H6" s="144" t="s">
        <v>108</v>
      </c>
      <c r="I6" s="146"/>
      <c r="J6" s="144" t="s">
        <v>163</v>
      </c>
      <c r="K6" s="146"/>
      <c r="L6" s="146"/>
      <c r="M6" s="148"/>
    </row>
    <row r="7" customFormat="false" ht="21" hidden="false" customHeight="true" outlineLevel="0" collapsed="false">
      <c r="A7" s="139" t="s">
        <v>949</v>
      </c>
      <c r="B7" s="140" t="s">
        <v>960</v>
      </c>
      <c r="C7" s="141" t="s">
        <v>159</v>
      </c>
      <c r="D7" s="139" t="s">
        <v>961</v>
      </c>
      <c r="E7" s="139" t="s">
        <v>962</v>
      </c>
      <c r="F7" s="139" t="s">
        <v>162</v>
      </c>
      <c r="G7" s="142" t="n">
        <v>48008</v>
      </c>
      <c r="H7" s="139" t="s">
        <v>108</v>
      </c>
      <c r="I7" s="141"/>
      <c r="J7" s="139" t="s">
        <v>163</v>
      </c>
      <c r="K7" s="141"/>
      <c r="L7" s="141"/>
      <c r="M7" s="143"/>
    </row>
    <row r="8" customFormat="false" ht="21" hidden="false" customHeight="true" outlineLevel="0" collapsed="false">
      <c r="A8" s="144" t="s">
        <v>949</v>
      </c>
      <c r="B8" s="145" t="s">
        <v>963</v>
      </c>
      <c r="C8" s="146" t="s">
        <v>250</v>
      </c>
      <c r="D8" s="144" t="s">
        <v>964</v>
      </c>
      <c r="E8" s="144" t="s">
        <v>965</v>
      </c>
      <c r="F8" s="144" t="s">
        <v>162</v>
      </c>
      <c r="G8" s="147" t="n">
        <v>46907</v>
      </c>
      <c r="H8" s="144" t="s">
        <v>108</v>
      </c>
      <c r="I8" s="146"/>
      <c r="J8" s="144" t="s">
        <v>163</v>
      </c>
      <c r="K8" s="146"/>
      <c r="L8" s="146"/>
      <c r="M8" s="148"/>
    </row>
    <row r="9" customFormat="false" ht="21" hidden="false" customHeight="true" outlineLevel="0" collapsed="false">
      <c r="A9" s="139" t="s">
        <v>949</v>
      </c>
      <c r="B9" s="140" t="s">
        <v>966</v>
      </c>
      <c r="C9" s="141" t="s">
        <v>176</v>
      </c>
      <c r="D9" s="139" t="s">
        <v>967</v>
      </c>
      <c r="E9" s="139" t="s">
        <v>968</v>
      </c>
      <c r="F9" s="139" t="s">
        <v>162</v>
      </c>
      <c r="G9" s="142" t="n">
        <v>46907</v>
      </c>
      <c r="H9" s="141" t="s">
        <v>38</v>
      </c>
      <c r="I9" s="141"/>
      <c r="J9" s="139" t="s">
        <v>163</v>
      </c>
      <c r="K9" s="141"/>
      <c r="L9" s="141"/>
      <c r="M9" s="143"/>
    </row>
    <row r="10" customFormat="false" ht="21" hidden="false" customHeight="true" outlineLevel="0" collapsed="false">
      <c r="A10" s="144" t="s">
        <v>949</v>
      </c>
      <c r="B10" s="145" t="s">
        <v>969</v>
      </c>
      <c r="C10" s="146" t="s">
        <v>250</v>
      </c>
      <c r="D10" s="144" t="s">
        <v>970</v>
      </c>
      <c r="E10" s="144" t="s">
        <v>971</v>
      </c>
      <c r="F10" s="144" t="s">
        <v>162</v>
      </c>
      <c r="G10" s="147" t="n">
        <v>46907</v>
      </c>
      <c r="H10" s="146" t="s">
        <v>38</v>
      </c>
      <c r="I10" s="146"/>
      <c r="J10" s="144" t="s">
        <v>163</v>
      </c>
      <c r="K10" s="146"/>
      <c r="L10" s="146"/>
      <c r="M10" s="148"/>
    </row>
    <row r="11" customFormat="false" ht="21" hidden="false" customHeight="true" outlineLevel="0" collapsed="false">
      <c r="A11" s="139" t="s">
        <v>949</v>
      </c>
      <c r="B11" s="140" t="s">
        <v>972</v>
      </c>
      <c r="C11" s="141" t="s">
        <v>600</v>
      </c>
      <c r="D11" s="139" t="s">
        <v>973</v>
      </c>
      <c r="E11" s="139" t="s">
        <v>974</v>
      </c>
      <c r="F11" s="139" t="s">
        <v>162</v>
      </c>
      <c r="G11" s="142" t="n">
        <v>46907</v>
      </c>
      <c r="H11" s="141" t="s">
        <v>36</v>
      </c>
      <c r="I11" s="141"/>
      <c r="J11" s="139" t="s">
        <v>163</v>
      </c>
      <c r="K11" s="141"/>
      <c r="L11" s="141"/>
      <c r="M11" s="143"/>
    </row>
    <row r="12" customFormat="false" ht="21" hidden="false" customHeight="true" outlineLevel="0" collapsed="false">
      <c r="A12" s="144" t="s">
        <v>949</v>
      </c>
      <c r="B12" s="145" t="s">
        <v>975</v>
      </c>
      <c r="C12" s="146" t="s">
        <v>600</v>
      </c>
      <c r="D12" s="144" t="s">
        <v>976</v>
      </c>
      <c r="E12" s="144" t="s">
        <v>977</v>
      </c>
      <c r="F12" s="144" t="s">
        <v>162</v>
      </c>
      <c r="G12" s="147" t="n">
        <v>46907</v>
      </c>
      <c r="H12" s="146" t="s">
        <v>109</v>
      </c>
      <c r="I12" s="146"/>
      <c r="J12" s="144" t="s">
        <v>163</v>
      </c>
      <c r="K12" s="146"/>
      <c r="L12" s="146"/>
      <c r="M12" s="148"/>
    </row>
    <row r="13" customFormat="false" ht="21" hidden="false" customHeight="true" outlineLevel="0" collapsed="false">
      <c r="A13" s="139" t="s">
        <v>949</v>
      </c>
      <c r="B13" s="140" t="s">
        <v>978</v>
      </c>
      <c r="C13" s="141" t="s">
        <v>600</v>
      </c>
      <c r="D13" s="139" t="s">
        <v>979</v>
      </c>
      <c r="E13" s="139" t="s">
        <v>980</v>
      </c>
      <c r="F13" s="139" t="s">
        <v>162</v>
      </c>
      <c r="G13" s="142" t="n">
        <v>46907</v>
      </c>
      <c r="H13" s="139" t="s">
        <v>110</v>
      </c>
      <c r="I13" s="141"/>
      <c r="J13" s="139" t="s">
        <v>163</v>
      </c>
      <c r="K13" s="141"/>
      <c r="L13" s="141"/>
      <c r="M13" s="143"/>
    </row>
    <row r="14" customFormat="false" ht="21" hidden="false" customHeight="true" outlineLevel="0" collapsed="false">
      <c r="A14" s="144" t="s">
        <v>949</v>
      </c>
      <c r="B14" s="145" t="s">
        <v>981</v>
      </c>
      <c r="C14" s="146" t="s">
        <v>646</v>
      </c>
      <c r="D14" s="144" t="s">
        <v>982</v>
      </c>
      <c r="E14" s="144" t="s">
        <v>983</v>
      </c>
      <c r="F14" s="144" t="s">
        <v>162</v>
      </c>
      <c r="G14" s="147" t="n">
        <v>48008</v>
      </c>
      <c r="H14" s="146" t="s">
        <v>36</v>
      </c>
      <c r="I14" s="146"/>
      <c r="J14" s="144" t="s">
        <v>169</v>
      </c>
      <c r="K14" s="146"/>
      <c r="L14" s="146"/>
      <c r="M14" s="148"/>
    </row>
    <row r="15" customFormat="false" ht="21" hidden="false" customHeight="true" outlineLevel="0" collapsed="false">
      <c r="A15" s="139" t="s">
        <v>949</v>
      </c>
      <c r="B15" s="140" t="s">
        <v>984</v>
      </c>
      <c r="C15" s="141" t="s">
        <v>600</v>
      </c>
      <c r="D15" s="139" t="s">
        <v>985</v>
      </c>
      <c r="E15" s="139" t="s">
        <v>986</v>
      </c>
      <c r="F15" s="139" t="s">
        <v>162</v>
      </c>
      <c r="G15" s="142" t="n">
        <v>46689</v>
      </c>
      <c r="H15" s="139" t="s">
        <v>108</v>
      </c>
      <c r="I15" s="141"/>
      <c r="J15" s="139" t="s">
        <v>163</v>
      </c>
      <c r="K15" s="141"/>
      <c r="L15" s="141"/>
      <c r="M15" s="143"/>
    </row>
    <row r="16" customFormat="false" ht="21" hidden="false" customHeight="true" outlineLevel="0" collapsed="false">
      <c r="A16" s="144" t="s">
        <v>949</v>
      </c>
      <c r="B16" s="145" t="s">
        <v>987</v>
      </c>
      <c r="C16" s="146" t="s">
        <v>646</v>
      </c>
      <c r="D16" s="144" t="s">
        <v>988</v>
      </c>
      <c r="E16" s="144" t="s">
        <v>989</v>
      </c>
      <c r="F16" s="144" t="s">
        <v>162</v>
      </c>
      <c r="G16" s="162" t="s">
        <v>990</v>
      </c>
      <c r="H16" s="146" t="s">
        <v>107</v>
      </c>
      <c r="I16" s="146"/>
      <c r="J16" s="144" t="s">
        <v>169</v>
      </c>
      <c r="K16" s="146"/>
      <c r="L16" s="146"/>
      <c r="M16" s="148"/>
    </row>
    <row r="17" customFormat="false" ht="21" hidden="false" customHeight="true" outlineLevel="0" collapsed="false">
      <c r="A17" s="139" t="s">
        <v>949</v>
      </c>
      <c r="B17" s="140" t="s">
        <v>991</v>
      </c>
      <c r="C17" s="141" t="s">
        <v>646</v>
      </c>
      <c r="D17" s="139" t="s">
        <v>992</v>
      </c>
      <c r="E17" s="139" t="s">
        <v>993</v>
      </c>
      <c r="F17" s="139" t="s">
        <v>162</v>
      </c>
      <c r="G17" s="153" t="s">
        <v>990</v>
      </c>
      <c r="H17" s="141" t="s">
        <v>107</v>
      </c>
      <c r="I17" s="141"/>
      <c r="J17" s="139" t="s">
        <v>169</v>
      </c>
      <c r="K17" s="141"/>
      <c r="L17" s="141"/>
      <c r="M17" s="143"/>
    </row>
    <row r="18" customFormat="false" ht="21" hidden="false" customHeight="true" outlineLevel="0" collapsed="false">
      <c r="A18" s="144" t="s">
        <v>949</v>
      </c>
      <c r="B18" s="145" t="s">
        <v>994</v>
      </c>
      <c r="C18" s="146" t="s">
        <v>646</v>
      </c>
      <c r="D18" s="144" t="s">
        <v>995</v>
      </c>
      <c r="E18" s="144" t="s">
        <v>996</v>
      </c>
      <c r="F18" s="144" t="s">
        <v>162</v>
      </c>
      <c r="G18" s="162" t="s">
        <v>990</v>
      </c>
      <c r="H18" s="146" t="s">
        <v>109</v>
      </c>
      <c r="I18" s="146"/>
      <c r="J18" s="144" t="s">
        <v>169</v>
      </c>
      <c r="K18" s="146"/>
      <c r="L18" s="146"/>
      <c r="M18" s="148"/>
    </row>
    <row r="19" customFormat="false" ht="21" hidden="false" customHeight="true" outlineLevel="0" collapsed="false">
      <c r="A19" s="139" t="s">
        <v>949</v>
      </c>
      <c r="B19" s="140" t="s">
        <v>997</v>
      </c>
      <c r="C19" s="141" t="s">
        <v>506</v>
      </c>
      <c r="D19" s="139" t="s">
        <v>998</v>
      </c>
      <c r="E19" s="139" t="s">
        <v>999</v>
      </c>
      <c r="F19" s="139" t="s">
        <v>162</v>
      </c>
      <c r="G19" s="142" t="n">
        <v>46907</v>
      </c>
      <c r="H19" s="139" t="s">
        <v>110</v>
      </c>
      <c r="I19" s="141"/>
      <c r="J19" s="139" t="s">
        <v>163</v>
      </c>
      <c r="K19" s="141"/>
      <c r="L19" s="141"/>
      <c r="M19" s="143"/>
    </row>
    <row r="20" customFormat="false" ht="21" hidden="false" customHeight="true" outlineLevel="0" collapsed="false">
      <c r="A20" s="144" t="s">
        <v>949</v>
      </c>
      <c r="B20" s="145" t="s">
        <v>1000</v>
      </c>
      <c r="C20" s="146" t="s">
        <v>646</v>
      </c>
      <c r="D20" s="144" t="s">
        <v>1001</v>
      </c>
      <c r="E20" s="144" t="s">
        <v>1002</v>
      </c>
      <c r="F20" s="144" t="s">
        <v>162</v>
      </c>
      <c r="G20" s="147" t="n">
        <v>48008</v>
      </c>
      <c r="H20" s="144" t="s">
        <v>110</v>
      </c>
      <c r="I20" s="146"/>
      <c r="J20" s="144" t="s">
        <v>169</v>
      </c>
      <c r="K20" s="146"/>
      <c r="L20" s="146"/>
      <c r="M20" s="148"/>
    </row>
    <row r="21" customFormat="false" ht="21" hidden="false" customHeight="true" outlineLevel="0" collapsed="false">
      <c r="A21" s="139" t="s">
        <v>949</v>
      </c>
      <c r="B21" s="140" t="s">
        <v>1003</v>
      </c>
      <c r="C21" s="141" t="s">
        <v>159</v>
      </c>
      <c r="D21" s="139" t="s">
        <v>1004</v>
      </c>
      <c r="E21" s="139" t="s">
        <v>1005</v>
      </c>
      <c r="F21" s="139" t="s">
        <v>162</v>
      </c>
      <c r="G21" s="142" t="n">
        <v>46082</v>
      </c>
      <c r="H21" s="141" t="s">
        <v>38</v>
      </c>
      <c r="I21" s="141"/>
      <c r="J21" s="139" t="s">
        <v>163</v>
      </c>
      <c r="K21" s="141"/>
      <c r="L21" s="141"/>
      <c r="M21" s="143"/>
    </row>
    <row r="22" customFormat="false" ht="21" hidden="false" customHeight="true" outlineLevel="0" collapsed="false">
      <c r="A22" s="144" t="s">
        <v>949</v>
      </c>
      <c r="B22" s="145" t="s">
        <v>1006</v>
      </c>
      <c r="C22" s="146" t="s">
        <v>600</v>
      </c>
      <c r="D22" s="144" t="s">
        <v>1007</v>
      </c>
      <c r="E22" s="144" t="s">
        <v>1008</v>
      </c>
      <c r="F22" s="144" t="s">
        <v>162</v>
      </c>
      <c r="G22" s="147" t="n">
        <v>46647</v>
      </c>
      <c r="H22" s="146" t="s">
        <v>36</v>
      </c>
      <c r="I22" s="146"/>
      <c r="J22" s="144" t="s">
        <v>163</v>
      </c>
      <c r="K22" s="146"/>
      <c r="L22" s="146"/>
      <c r="M22" s="148"/>
    </row>
    <row r="23" customFormat="false" ht="21" hidden="false" customHeight="true" outlineLevel="0" collapsed="false">
      <c r="A23" s="139" t="s">
        <v>949</v>
      </c>
      <c r="B23" s="140" t="s">
        <v>1009</v>
      </c>
      <c r="C23" s="141" t="s">
        <v>250</v>
      </c>
      <c r="D23" s="139" t="s">
        <v>1010</v>
      </c>
      <c r="E23" s="139" t="s">
        <v>1011</v>
      </c>
      <c r="F23" s="139" t="s">
        <v>162</v>
      </c>
      <c r="G23" s="142" t="n">
        <v>48008</v>
      </c>
      <c r="H23" s="141" t="s">
        <v>36</v>
      </c>
      <c r="I23" s="141"/>
      <c r="J23" s="139" t="s">
        <v>169</v>
      </c>
      <c r="K23" s="141"/>
      <c r="L23" s="141"/>
      <c r="M23" s="143"/>
    </row>
    <row r="24" customFormat="false" ht="21" hidden="false" customHeight="true" outlineLevel="0" collapsed="false">
      <c r="A24" s="144" t="s">
        <v>949</v>
      </c>
      <c r="B24" s="145" t="s">
        <v>1012</v>
      </c>
      <c r="C24" s="146" t="s">
        <v>302</v>
      </c>
      <c r="D24" s="146" t="s">
        <v>365</v>
      </c>
      <c r="E24" s="144" t="s">
        <v>1013</v>
      </c>
      <c r="F24" s="144" t="s">
        <v>162</v>
      </c>
      <c r="G24" s="147" t="n">
        <v>46433</v>
      </c>
      <c r="H24" s="144" t="s">
        <v>108</v>
      </c>
      <c r="I24" s="146"/>
      <c r="J24" s="144" t="s">
        <v>163</v>
      </c>
      <c r="K24" s="146"/>
      <c r="L24" s="146"/>
      <c r="M24" s="148"/>
    </row>
    <row r="25" customFormat="false" ht="21" hidden="false" customHeight="true" outlineLevel="0" collapsed="false">
      <c r="A25" s="139" t="s">
        <v>949</v>
      </c>
      <c r="B25" s="140" t="s">
        <v>1014</v>
      </c>
      <c r="C25" s="141" t="s">
        <v>302</v>
      </c>
      <c r="D25" s="139" t="s">
        <v>1015</v>
      </c>
      <c r="E25" s="163" t="s">
        <v>1016</v>
      </c>
      <c r="F25" s="139" t="s">
        <v>162</v>
      </c>
      <c r="G25" s="142" t="n">
        <v>46082</v>
      </c>
      <c r="H25" s="141" t="s">
        <v>38</v>
      </c>
      <c r="I25" s="141"/>
      <c r="J25" s="139" t="s">
        <v>1017</v>
      </c>
      <c r="K25" s="141"/>
      <c r="L25" s="141"/>
      <c r="M25" s="143"/>
    </row>
    <row r="26" customFormat="false" ht="21" hidden="false" customHeight="true" outlineLevel="0" collapsed="false">
      <c r="A26" s="144" t="s">
        <v>1018</v>
      </c>
      <c r="B26" s="145" t="s">
        <v>1019</v>
      </c>
      <c r="C26" s="146" t="s">
        <v>176</v>
      </c>
      <c r="D26" s="144" t="s">
        <v>1020</v>
      </c>
      <c r="E26" s="144" t="s">
        <v>1021</v>
      </c>
      <c r="F26" s="144" t="s">
        <v>162</v>
      </c>
      <c r="G26" s="147" t="n">
        <v>46527</v>
      </c>
      <c r="H26" s="146" t="s">
        <v>107</v>
      </c>
      <c r="I26" s="146"/>
      <c r="J26" s="146"/>
      <c r="K26" s="146"/>
      <c r="L26" s="146"/>
      <c r="M26" s="148"/>
    </row>
    <row r="27" customFormat="false" ht="21" hidden="false" customHeight="true" outlineLevel="0" collapsed="false">
      <c r="A27" s="139" t="s">
        <v>1018</v>
      </c>
      <c r="B27" s="140" t="s">
        <v>1022</v>
      </c>
      <c r="C27" s="141" t="s">
        <v>176</v>
      </c>
      <c r="D27" s="139" t="s">
        <v>1023</v>
      </c>
      <c r="E27" s="139" t="s">
        <v>1024</v>
      </c>
      <c r="F27" s="139" t="s">
        <v>162</v>
      </c>
      <c r="G27" s="142" t="n">
        <v>46527</v>
      </c>
      <c r="H27" s="139" t="s">
        <v>110</v>
      </c>
      <c r="I27" s="141"/>
      <c r="J27" s="141"/>
      <c r="K27" s="141"/>
      <c r="L27" s="141"/>
      <c r="M27" s="143"/>
    </row>
    <row r="28" customFormat="false" ht="21" hidden="false" customHeight="true" outlineLevel="0" collapsed="false">
      <c r="A28" s="144" t="s">
        <v>1018</v>
      </c>
      <c r="B28" s="145" t="s">
        <v>1025</v>
      </c>
      <c r="C28" s="146" t="s">
        <v>176</v>
      </c>
      <c r="D28" s="144" t="s">
        <v>1026</v>
      </c>
      <c r="E28" s="144" t="s">
        <v>1027</v>
      </c>
      <c r="F28" s="144" t="s">
        <v>162</v>
      </c>
      <c r="G28" s="147" t="n">
        <v>46536</v>
      </c>
      <c r="H28" s="144" t="s">
        <v>110</v>
      </c>
      <c r="I28" s="146"/>
      <c r="J28" s="146"/>
      <c r="K28" s="146"/>
      <c r="L28" s="146"/>
      <c r="M28" s="148"/>
    </row>
    <row r="29" customFormat="false" ht="21" hidden="false" customHeight="true" outlineLevel="0" collapsed="false">
      <c r="A29" s="139" t="s">
        <v>1018</v>
      </c>
      <c r="B29" s="140" t="s">
        <v>1028</v>
      </c>
      <c r="C29" s="141" t="s">
        <v>176</v>
      </c>
      <c r="D29" s="139" t="s">
        <v>1029</v>
      </c>
      <c r="E29" s="139" t="s">
        <v>1030</v>
      </c>
      <c r="F29" s="139" t="s">
        <v>162</v>
      </c>
      <c r="G29" s="142" t="n">
        <v>46527</v>
      </c>
      <c r="H29" s="141" t="s">
        <v>109</v>
      </c>
      <c r="I29" s="141"/>
      <c r="J29" s="141"/>
      <c r="K29" s="141"/>
      <c r="L29" s="141"/>
      <c r="M29" s="143"/>
    </row>
    <row r="30" customFormat="false" ht="21" hidden="false" customHeight="true" outlineLevel="0" collapsed="false">
      <c r="A30" s="144" t="s">
        <v>1018</v>
      </c>
      <c r="B30" s="145" t="s">
        <v>1031</v>
      </c>
      <c r="C30" s="146" t="s">
        <v>176</v>
      </c>
      <c r="D30" s="144" t="s">
        <v>1032</v>
      </c>
      <c r="E30" s="144" t="s">
        <v>1033</v>
      </c>
      <c r="F30" s="144" t="s">
        <v>162</v>
      </c>
      <c r="G30" s="147" t="n">
        <v>46527</v>
      </c>
      <c r="H30" s="146" t="s">
        <v>36</v>
      </c>
      <c r="I30" s="146"/>
      <c r="J30" s="146"/>
      <c r="K30" s="146"/>
      <c r="L30" s="146"/>
      <c r="M30" s="148"/>
    </row>
    <row r="31" customFormat="false" ht="21" hidden="false" customHeight="true" outlineLevel="0" collapsed="false">
      <c r="A31" s="139" t="s">
        <v>1018</v>
      </c>
      <c r="B31" s="140" t="s">
        <v>1034</v>
      </c>
      <c r="C31" s="141" t="s">
        <v>176</v>
      </c>
      <c r="D31" s="139" t="s">
        <v>1035</v>
      </c>
      <c r="E31" s="139" t="s">
        <v>1036</v>
      </c>
      <c r="F31" s="139" t="s">
        <v>162</v>
      </c>
      <c r="G31" s="142" t="n">
        <v>46527</v>
      </c>
      <c r="H31" s="141" t="s">
        <v>36</v>
      </c>
      <c r="I31" s="141"/>
      <c r="J31" s="141"/>
      <c r="K31" s="141"/>
      <c r="L31" s="141"/>
      <c r="M31" s="143"/>
    </row>
    <row r="32" customFormat="false" ht="21" hidden="false" customHeight="true" outlineLevel="0" collapsed="false">
      <c r="A32" s="144" t="s">
        <v>1018</v>
      </c>
      <c r="B32" s="145" t="s">
        <v>1037</v>
      </c>
      <c r="C32" s="146" t="s">
        <v>176</v>
      </c>
      <c r="D32" s="164" t="s">
        <v>1038</v>
      </c>
      <c r="E32" s="144" t="s">
        <v>1039</v>
      </c>
      <c r="F32" s="144" t="s">
        <v>162</v>
      </c>
      <c r="G32" s="147" t="n">
        <v>46527</v>
      </c>
      <c r="H32" s="146" t="s">
        <v>36</v>
      </c>
      <c r="I32" s="146"/>
      <c r="J32" s="146"/>
      <c r="K32" s="146"/>
      <c r="L32" s="146"/>
      <c r="M32" s="148"/>
    </row>
    <row r="33" customFormat="false" ht="21" hidden="false" customHeight="true" outlineLevel="0" collapsed="false">
      <c r="A33" s="139" t="s">
        <v>1018</v>
      </c>
      <c r="B33" s="140" t="s">
        <v>1040</v>
      </c>
      <c r="C33" s="141" t="s">
        <v>176</v>
      </c>
      <c r="D33" s="139" t="s">
        <v>1041</v>
      </c>
      <c r="E33" s="139" t="s">
        <v>1042</v>
      </c>
      <c r="F33" s="139" t="s">
        <v>162</v>
      </c>
      <c r="G33" s="142" t="n">
        <v>46527</v>
      </c>
      <c r="H33" s="141" t="s">
        <v>36</v>
      </c>
      <c r="I33" s="141"/>
      <c r="J33" s="141"/>
      <c r="K33" s="141"/>
      <c r="L33" s="141"/>
      <c r="M33" s="143"/>
    </row>
    <row r="34" customFormat="false" ht="21" hidden="false" customHeight="true" outlineLevel="0" collapsed="false">
      <c r="A34" s="146"/>
      <c r="B34" s="165"/>
      <c r="C34" s="146"/>
      <c r="D34" s="146"/>
      <c r="E34" s="146"/>
      <c r="F34" s="146"/>
      <c r="G34" s="149"/>
      <c r="H34" s="146"/>
      <c r="I34" s="146"/>
      <c r="J34" s="146"/>
      <c r="K34" s="146"/>
      <c r="L34" s="146"/>
      <c r="M34" s="148"/>
    </row>
    <row r="35" customFormat="false" ht="21" hidden="false" customHeight="true" outlineLevel="0" collapsed="false">
      <c r="A35" s="139" t="s">
        <v>1043</v>
      </c>
      <c r="B35" s="150"/>
      <c r="C35" s="141"/>
      <c r="D35" s="141"/>
      <c r="E35" s="141"/>
      <c r="F35" s="141"/>
      <c r="G35" s="151"/>
      <c r="H35" s="141"/>
      <c r="I35" s="141"/>
      <c r="J35" s="141"/>
      <c r="K35" s="141"/>
      <c r="L35" s="141"/>
      <c r="M35" s="143"/>
    </row>
    <row r="36" customFormat="false" ht="21" hidden="false" customHeight="true" outlineLevel="0" collapsed="false">
      <c r="A36" s="144" t="s">
        <v>949</v>
      </c>
      <c r="B36" s="145" t="s">
        <v>1044</v>
      </c>
      <c r="C36" s="146" t="s">
        <v>646</v>
      </c>
      <c r="D36" s="144" t="s">
        <v>1045</v>
      </c>
      <c r="E36" s="144" t="s">
        <v>1046</v>
      </c>
      <c r="F36" s="144" t="s">
        <v>162</v>
      </c>
      <c r="G36" s="147" t="n">
        <v>45429</v>
      </c>
      <c r="H36" s="144" t="s">
        <v>1047</v>
      </c>
      <c r="I36" s="146"/>
      <c r="J36" s="144" t="s">
        <v>163</v>
      </c>
      <c r="K36" s="146"/>
      <c r="L36" s="146"/>
      <c r="M36" s="148"/>
    </row>
    <row r="37" customFormat="false" ht="21" hidden="false" customHeight="true" outlineLevel="0" collapsed="false">
      <c r="A37" s="139" t="s">
        <v>949</v>
      </c>
      <c r="B37" s="140" t="s">
        <v>1048</v>
      </c>
      <c r="C37" s="141" t="s">
        <v>646</v>
      </c>
      <c r="D37" s="139" t="s">
        <v>1049</v>
      </c>
      <c r="E37" s="139" t="s">
        <v>1050</v>
      </c>
      <c r="F37" s="139" t="s">
        <v>162</v>
      </c>
      <c r="G37" s="142" t="n">
        <v>45429</v>
      </c>
      <c r="H37" s="139" t="s">
        <v>1047</v>
      </c>
      <c r="I37" s="141"/>
      <c r="J37" s="139" t="s">
        <v>163</v>
      </c>
      <c r="K37" s="141"/>
      <c r="L37" s="141"/>
      <c r="M37" s="143"/>
    </row>
    <row r="38" customFormat="false" ht="21" hidden="false" customHeight="true" outlineLevel="0" collapsed="false">
      <c r="A38" s="144" t="s">
        <v>949</v>
      </c>
      <c r="B38" s="145" t="s">
        <v>1051</v>
      </c>
      <c r="C38" s="146" t="s">
        <v>1052</v>
      </c>
      <c r="D38" s="144" t="s">
        <v>1053</v>
      </c>
      <c r="E38" s="144" t="s">
        <v>1002</v>
      </c>
      <c r="F38" s="144" t="s">
        <v>225</v>
      </c>
      <c r="G38" s="149"/>
      <c r="H38" s="144" t="s">
        <v>1054</v>
      </c>
      <c r="I38" s="146"/>
      <c r="J38" s="144" t="s">
        <v>163</v>
      </c>
      <c r="K38" s="146"/>
      <c r="L38" s="146"/>
      <c r="M38" s="148"/>
    </row>
    <row r="39" customFormat="false" ht="21" hidden="false" customHeight="true" outlineLevel="0" collapsed="false">
      <c r="A39" s="139" t="s">
        <v>949</v>
      </c>
      <c r="B39" s="140" t="s">
        <v>1055</v>
      </c>
      <c r="C39" s="141" t="s">
        <v>646</v>
      </c>
      <c r="D39" s="139" t="s">
        <v>1056</v>
      </c>
      <c r="E39" s="139" t="s">
        <v>1057</v>
      </c>
      <c r="F39" s="139" t="s">
        <v>162</v>
      </c>
      <c r="G39" s="142" t="n">
        <v>45429</v>
      </c>
      <c r="H39" s="139" t="s">
        <v>1047</v>
      </c>
      <c r="I39" s="141"/>
      <c r="J39" s="139" t="s">
        <v>163</v>
      </c>
      <c r="K39" s="141"/>
      <c r="L39" s="141"/>
      <c r="M39" s="143"/>
    </row>
    <row r="40" customFormat="false" ht="21" hidden="false" customHeight="true" outlineLevel="0" collapsed="false">
      <c r="A40" s="144" t="s">
        <v>949</v>
      </c>
      <c r="B40" s="145" t="s">
        <v>1058</v>
      </c>
      <c r="C40" s="146" t="s">
        <v>646</v>
      </c>
      <c r="D40" s="144" t="s">
        <v>1059</v>
      </c>
      <c r="E40" s="144" t="s">
        <v>1060</v>
      </c>
      <c r="F40" s="144" t="s">
        <v>1061</v>
      </c>
      <c r="G40" s="147" t="n">
        <v>45734</v>
      </c>
      <c r="H40" s="146" t="s">
        <v>38</v>
      </c>
      <c r="I40" s="146"/>
      <c r="J40" s="144" t="s">
        <v>163</v>
      </c>
      <c r="K40" s="146"/>
      <c r="L40" s="146"/>
      <c r="M40" s="148"/>
    </row>
    <row r="41" customFormat="false" ht="21" hidden="false" customHeight="true" outlineLevel="0" collapsed="false">
      <c r="A41" s="139" t="s">
        <v>949</v>
      </c>
      <c r="B41" s="140" t="s">
        <v>1062</v>
      </c>
      <c r="C41" s="141" t="s">
        <v>600</v>
      </c>
      <c r="D41" s="139" t="s">
        <v>1063</v>
      </c>
      <c r="E41" s="139" t="s">
        <v>1064</v>
      </c>
      <c r="F41" s="139" t="s">
        <v>253</v>
      </c>
      <c r="G41" s="142" t="n">
        <v>45732</v>
      </c>
      <c r="H41" s="141" t="s">
        <v>38</v>
      </c>
      <c r="I41" s="141"/>
      <c r="J41" s="139" t="s">
        <v>163</v>
      </c>
      <c r="K41" s="141"/>
      <c r="L41" s="141"/>
      <c r="M41" s="143"/>
    </row>
    <row r="42" customFormat="false" ht="21" hidden="false" customHeight="true" outlineLevel="0" collapsed="false">
      <c r="A42" s="144" t="s">
        <v>949</v>
      </c>
      <c r="B42" s="145" t="s">
        <v>1065</v>
      </c>
      <c r="C42" s="146" t="s">
        <v>646</v>
      </c>
      <c r="D42" s="144" t="s">
        <v>1066</v>
      </c>
      <c r="E42" s="144" t="s">
        <v>1067</v>
      </c>
      <c r="F42" s="144" t="s">
        <v>253</v>
      </c>
      <c r="G42" s="147" t="n">
        <v>46082</v>
      </c>
      <c r="H42" s="144" t="s">
        <v>589</v>
      </c>
      <c r="I42" s="146"/>
      <c r="J42" s="144" t="s">
        <v>163</v>
      </c>
      <c r="K42" s="146"/>
      <c r="L42" s="146"/>
      <c r="M42" s="148"/>
    </row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</sheetData>
  <mergeCells count="1">
    <mergeCell ref="F1:M1"/>
  </mergeCells>
  <conditionalFormatting sqref="F3:F42">
    <cfRule type="expression" priority="2" aboveAverage="0" equalAverage="0" bottom="0" percent="0" rank="0" text="" dxfId="11">
      <formula>ISNUMBER(SEARCH("Aprovado",$F3))</formula>
    </cfRule>
    <cfRule type="expression" priority="3" aboveAverage="0" equalAverage="0" bottom="0" percent="0" rank="0" text="" dxfId="8">
      <formula>ISNUMBER(SEARCH("Revis",$F3))</formula>
    </cfRule>
    <cfRule type="expression" priority="4" aboveAverage="0" equalAverage="0" bottom="0" percent="0" rank="0" text="" dxfId="8">
      <formula>ISNUMBER(SEARCH("Elabora",$F3))</formula>
    </cfRule>
    <cfRule type="expression" priority="5" aboveAverage="0" equalAverage="0" bottom="0" percent="0" rank="0" text="" dxfId="10">
      <formula>ISNUMBER(SEARCH("Cancel",$F3))</formula>
    </cfRule>
    <cfRule type="expression" priority="6" aboveAverage="0" equalAverage="0" bottom="0" percent="0" rank="0" text="" dxfId="10">
      <formula>ISNUMBER(SEARCH("Fora",$F3))</formula>
    </cfRule>
    <cfRule type="expression" priority="7" aboveAverage="0" equalAverage="0" bottom="0" percent="0" rank="0" text="" dxfId="7">
      <formula>ISNUMBER(SEARCH("Não encontrado",$F3))</formula>
    </cfRule>
    <cfRule type="expression" priority="8" aboveAverage="0" equalAverage="0" bottom="0" percent="0" rank="0" text="" dxfId="7">
      <formula>ISNUMBER(SEARCH("Avai",$F3))</formula>
    </cfRule>
  </conditionalFormatting>
  <conditionalFormatting sqref="G3:G42">
    <cfRule type="expression" priority="9" aboveAverage="0" equalAverage="0" bottom="0" percent="0" rank="0" text="" dxfId="7">
      <formula>AND(ISNUMBER($G3),$G3&lt;DataRef,ISNUMBER(SEARCH("Aprovado",$F3)))</formula>
    </cfRule>
    <cfRule type="expression" priority="10" aboveAverage="0" equalAverage="0" bottom="0" percent="0" rank="0" text="" dxfId="8">
      <formula>AND(ISNUMBER($G3),$G3&gt;=DataRef,$G3&lt;=EDATE(DataRef,12),ISNUMBER(SEARCH("Aprovado",$F3)))</formula>
    </cfRule>
  </conditionalFormatting>
  <hyperlinks>
    <hyperlink ref="C1" location="'INÍCIO'!A1" display="⌂  Início"/>
    <hyperlink ref="D1" location="'DASHBOARD EXECUTIVO'!A1" display="▦  Dashboard"/>
    <hyperlink ref="E1" location="'OUTROS CONTROLES'!A1" display="▤  Outro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3"/>
    <pageSetUpPr fitToPage="false"/>
  </sheetPr>
  <dimension ref="A1:JR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2890625" defaultRowHeight="15" zeroHeight="false" outlineLevelRow="0" outlineLevelCol="0"/>
  <cols>
    <col collapsed="false" customWidth="true" hidden="false" outlineLevel="0" max="1" min="1" style="166" width="19"/>
    <col collapsed="false" customWidth="true" hidden="false" outlineLevel="0" max="2" min="2" style="167" width="28"/>
    <col collapsed="false" customWidth="true" hidden="false" outlineLevel="0" max="3" min="3" style="166" width="18"/>
    <col collapsed="false" customWidth="true" hidden="false" outlineLevel="0" max="4" min="4" style="168" width="70"/>
    <col collapsed="false" customWidth="true" hidden="false" outlineLevel="0" max="5" min="5" style="166" width="14"/>
    <col collapsed="false" customWidth="true" hidden="false" outlineLevel="0" max="7" min="6" style="0" width="14"/>
    <col collapsed="false" customWidth="true" hidden="false" outlineLevel="0" max="8" min="8" style="169" width="10"/>
    <col collapsed="false" customWidth="true" hidden="false" outlineLevel="0" max="9" min="9" style="169" width="41"/>
    <col collapsed="false" customWidth="true" hidden="false" outlineLevel="0" max="12" min="10" style="0" width="3"/>
    <col collapsed="false" customWidth="true" hidden="false" outlineLevel="0" max="13" min="13" style="0" width="15"/>
    <col collapsed="false" customWidth="false" hidden="false" outlineLevel="0" max="278" min="14" style="169" width="9.29"/>
    <col collapsed="false" customWidth="false" hidden="false" outlineLevel="0" max="16384" min="279" style="166" width="9.29"/>
  </cols>
  <sheetData>
    <row r="1" s="173" customFormat="true" ht="39.75" hidden="false" customHeight="true" outlineLevel="0" collapsed="false">
      <c r="A1" s="170"/>
      <c r="B1" s="135" t="s">
        <v>1068</v>
      </c>
      <c r="C1" s="135"/>
      <c r="D1" s="55" t="s">
        <v>64</v>
      </c>
      <c r="E1" s="55" t="s">
        <v>65</v>
      </c>
      <c r="F1" s="55" t="s">
        <v>69</v>
      </c>
      <c r="G1" s="136" t="str">
        <f aca="false">COUNTA($B$3:$B$57)&amp;" registros"</f>
        <v>51 registros</v>
      </c>
      <c r="H1" s="136"/>
      <c r="I1" s="136"/>
      <c r="J1" s="136"/>
      <c r="K1" s="171"/>
      <c r="L1" s="171"/>
      <c r="M1" s="172"/>
    </row>
    <row r="2" s="175" customFormat="true" ht="31.5" hidden="false" customHeight="true" outlineLevel="0" collapsed="false">
      <c r="A2" s="105" t="s">
        <v>905</v>
      </c>
      <c r="B2" s="105" t="s">
        <v>906</v>
      </c>
      <c r="C2" s="105" t="s">
        <v>1069</v>
      </c>
      <c r="D2" s="105" t="s">
        <v>774</v>
      </c>
      <c r="E2" s="105" t="s">
        <v>144</v>
      </c>
      <c r="F2" s="105"/>
      <c r="G2" s="105"/>
      <c r="H2" s="105"/>
      <c r="I2" s="105" t="s">
        <v>1070</v>
      </c>
      <c r="J2" s="137"/>
      <c r="K2" s="137"/>
      <c r="L2" s="137"/>
      <c r="M2" s="137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74"/>
      <c r="BS2" s="174"/>
      <c r="BT2" s="174"/>
      <c r="BU2" s="174"/>
      <c r="BV2" s="174"/>
      <c r="BW2" s="174"/>
      <c r="BX2" s="174"/>
      <c r="BY2" s="174"/>
      <c r="BZ2" s="174"/>
      <c r="CA2" s="174"/>
      <c r="CB2" s="174"/>
      <c r="CC2" s="174"/>
      <c r="CD2" s="174"/>
      <c r="CE2" s="174"/>
      <c r="CF2" s="174"/>
      <c r="CG2" s="174"/>
      <c r="CH2" s="174"/>
      <c r="CI2" s="174"/>
      <c r="CJ2" s="174"/>
      <c r="CK2" s="174"/>
      <c r="CL2" s="174"/>
      <c r="CM2" s="174"/>
      <c r="CN2" s="174"/>
      <c r="CO2" s="174"/>
      <c r="CP2" s="174"/>
      <c r="CQ2" s="174"/>
      <c r="CR2" s="174"/>
      <c r="CS2" s="174"/>
      <c r="CT2" s="174"/>
      <c r="CU2" s="174"/>
      <c r="CV2" s="174"/>
      <c r="CW2" s="174"/>
      <c r="CX2" s="174"/>
      <c r="CY2" s="174"/>
      <c r="CZ2" s="174"/>
      <c r="DA2" s="174"/>
      <c r="DB2" s="174"/>
      <c r="DC2" s="174"/>
      <c r="DD2" s="174"/>
      <c r="DE2" s="174"/>
      <c r="DF2" s="174"/>
      <c r="DG2" s="174"/>
      <c r="DH2" s="174"/>
      <c r="DI2" s="174"/>
      <c r="DJ2" s="174"/>
      <c r="DK2" s="174"/>
      <c r="DL2" s="174"/>
      <c r="DM2" s="174"/>
      <c r="DN2" s="174"/>
      <c r="DO2" s="174"/>
      <c r="DP2" s="174"/>
      <c r="DQ2" s="174"/>
      <c r="DR2" s="174"/>
      <c r="DS2" s="174"/>
      <c r="DT2" s="174"/>
      <c r="DU2" s="174"/>
      <c r="DV2" s="174"/>
      <c r="DW2" s="174"/>
      <c r="DX2" s="174"/>
      <c r="DY2" s="174"/>
      <c r="DZ2" s="174"/>
      <c r="EA2" s="174"/>
      <c r="EB2" s="174"/>
      <c r="EC2" s="174"/>
      <c r="ED2" s="174"/>
      <c r="EE2" s="174"/>
      <c r="EF2" s="174"/>
      <c r="EG2" s="174"/>
      <c r="EH2" s="174"/>
      <c r="EI2" s="174"/>
      <c r="EJ2" s="174"/>
      <c r="EK2" s="174"/>
      <c r="EL2" s="174"/>
      <c r="EM2" s="174"/>
      <c r="EN2" s="174"/>
      <c r="EO2" s="174"/>
      <c r="EP2" s="174"/>
      <c r="EQ2" s="174"/>
      <c r="ER2" s="174"/>
      <c r="ES2" s="174"/>
      <c r="ET2" s="174"/>
      <c r="EU2" s="174"/>
      <c r="EV2" s="174"/>
      <c r="EW2" s="174"/>
      <c r="EX2" s="174"/>
      <c r="EY2" s="174"/>
      <c r="EZ2" s="174"/>
      <c r="FA2" s="174"/>
      <c r="FB2" s="174"/>
      <c r="FC2" s="174"/>
      <c r="FD2" s="174"/>
      <c r="FE2" s="174"/>
      <c r="FF2" s="174"/>
      <c r="FG2" s="174"/>
      <c r="FH2" s="174"/>
      <c r="FI2" s="174"/>
      <c r="FJ2" s="174"/>
      <c r="FK2" s="174"/>
      <c r="FL2" s="174"/>
      <c r="FM2" s="174"/>
      <c r="FN2" s="174"/>
      <c r="FO2" s="174"/>
      <c r="FP2" s="174"/>
      <c r="FQ2" s="174"/>
      <c r="FR2" s="174"/>
      <c r="FS2" s="174"/>
      <c r="FT2" s="174"/>
      <c r="FU2" s="174"/>
      <c r="FV2" s="174"/>
      <c r="FW2" s="174"/>
      <c r="FX2" s="174"/>
      <c r="FY2" s="174"/>
      <c r="FZ2" s="174"/>
      <c r="GA2" s="174"/>
      <c r="GB2" s="174"/>
      <c r="GC2" s="174"/>
      <c r="GD2" s="174"/>
      <c r="GE2" s="174"/>
      <c r="GF2" s="174"/>
      <c r="GG2" s="174"/>
      <c r="GH2" s="174"/>
      <c r="GI2" s="174"/>
      <c r="GJ2" s="174"/>
      <c r="GK2" s="174"/>
      <c r="GL2" s="174"/>
      <c r="GM2" s="174"/>
      <c r="GN2" s="174"/>
      <c r="GO2" s="174"/>
      <c r="GP2" s="174"/>
      <c r="GQ2" s="174"/>
      <c r="GR2" s="174"/>
      <c r="GS2" s="174"/>
      <c r="GT2" s="174"/>
      <c r="GU2" s="174"/>
      <c r="GV2" s="174"/>
      <c r="GW2" s="174"/>
      <c r="GX2" s="174"/>
      <c r="GY2" s="174"/>
      <c r="GZ2" s="174"/>
      <c r="HA2" s="174"/>
      <c r="HB2" s="174"/>
      <c r="HC2" s="174"/>
      <c r="HD2" s="174"/>
      <c r="HE2" s="174"/>
      <c r="HF2" s="174"/>
      <c r="HG2" s="174"/>
      <c r="HH2" s="174"/>
      <c r="HI2" s="174"/>
      <c r="HJ2" s="174"/>
      <c r="HK2" s="174"/>
      <c r="HL2" s="174"/>
      <c r="HM2" s="174"/>
      <c r="HN2" s="174"/>
      <c r="HO2" s="174"/>
      <c r="HP2" s="174"/>
      <c r="HQ2" s="174"/>
      <c r="HR2" s="174"/>
      <c r="HS2" s="174"/>
      <c r="HT2" s="174"/>
      <c r="HU2" s="174"/>
      <c r="HV2" s="174"/>
      <c r="HW2" s="174"/>
      <c r="HX2" s="174"/>
      <c r="HY2" s="174"/>
      <c r="HZ2" s="174"/>
      <c r="IA2" s="174"/>
      <c r="IB2" s="174"/>
      <c r="IC2" s="174"/>
      <c r="ID2" s="174"/>
      <c r="IE2" s="174"/>
      <c r="IF2" s="174"/>
      <c r="IG2" s="174"/>
      <c r="IH2" s="174"/>
      <c r="II2" s="174"/>
      <c r="IJ2" s="174"/>
      <c r="IK2" s="174"/>
      <c r="IL2" s="174"/>
      <c r="IM2" s="174"/>
      <c r="IN2" s="174"/>
      <c r="IO2" s="174"/>
      <c r="IP2" s="174"/>
      <c r="IQ2" s="174"/>
      <c r="IR2" s="174"/>
      <c r="IS2" s="174"/>
      <c r="IT2" s="174"/>
      <c r="IU2" s="174"/>
      <c r="IV2" s="174"/>
      <c r="IW2" s="174"/>
      <c r="IX2" s="174"/>
      <c r="IY2" s="174"/>
      <c r="IZ2" s="174"/>
      <c r="JA2" s="174"/>
      <c r="JB2" s="174"/>
      <c r="JC2" s="174"/>
      <c r="JD2" s="174"/>
      <c r="JE2" s="174"/>
      <c r="JF2" s="174"/>
      <c r="JG2" s="174"/>
      <c r="JH2" s="174"/>
      <c r="JI2" s="174"/>
      <c r="JJ2" s="174"/>
      <c r="JK2" s="174"/>
      <c r="JL2" s="174"/>
      <c r="JM2" s="174"/>
      <c r="JN2" s="174"/>
      <c r="JO2" s="174"/>
      <c r="JP2" s="174"/>
      <c r="JQ2" s="174"/>
      <c r="JR2" s="174"/>
    </row>
    <row r="3" customFormat="false" ht="21" hidden="false" customHeight="true" outlineLevel="0" collapsed="false">
      <c r="A3" s="139" t="s">
        <v>909</v>
      </c>
      <c r="B3" s="140" t="s">
        <v>1071</v>
      </c>
      <c r="C3" s="139" t="s">
        <v>1072</v>
      </c>
      <c r="D3" s="139" t="s">
        <v>1073</v>
      </c>
      <c r="E3" s="141"/>
      <c r="F3" s="141"/>
      <c r="G3" s="141"/>
      <c r="H3" s="141"/>
      <c r="I3" s="139" t="s">
        <v>1074</v>
      </c>
      <c r="J3" s="143"/>
      <c r="K3" s="143"/>
      <c r="L3" s="143"/>
      <c r="M3" s="143"/>
    </row>
    <row r="4" customFormat="false" ht="21" hidden="false" customHeight="true" outlineLevel="0" collapsed="false">
      <c r="A4" s="144" t="s">
        <v>909</v>
      </c>
      <c r="B4" s="145" t="s">
        <v>1075</v>
      </c>
      <c r="C4" s="144" t="s">
        <v>1076</v>
      </c>
      <c r="D4" s="144" t="s">
        <v>1077</v>
      </c>
      <c r="E4" s="146"/>
      <c r="F4" s="146"/>
      <c r="G4" s="146"/>
      <c r="H4" s="146"/>
      <c r="I4" s="144" t="s">
        <v>1074</v>
      </c>
      <c r="J4" s="148"/>
      <c r="K4" s="148"/>
      <c r="L4" s="148"/>
      <c r="M4" s="148"/>
    </row>
    <row r="5" customFormat="false" ht="21" hidden="false" customHeight="true" outlineLevel="0" collapsed="false">
      <c r="A5" s="139" t="s">
        <v>909</v>
      </c>
      <c r="B5" s="140" t="s">
        <v>1078</v>
      </c>
      <c r="C5" s="139" t="s">
        <v>1079</v>
      </c>
      <c r="D5" s="139" t="s">
        <v>1080</v>
      </c>
      <c r="E5" s="141"/>
      <c r="F5" s="141"/>
      <c r="G5" s="141"/>
      <c r="H5" s="141"/>
      <c r="I5" s="139" t="s">
        <v>1074</v>
      </c>
      <c r="J5" s="143"/>
      <c r="K5" s="143"/>
      <c r="L5" s="143"/>
      <c r="M5" s="143"/>
    </row>
    <row r="6" customFormat="false" ht="21" hidden="false" customHeight="true" outlineLevel="0" collapsed="false">
      <c r="A6" s="144" t="s">
        <v>909</v>
      </c>
      <c r="B6" s="145" t="s">
        <v>1081</v>
      </c>
      <c r="C6" s="144" t="s">
        <v>1082</v>
      </c>
      <c r="D6" s="144" t="s">
        <v>1083</v>
      </c>
      <c r="E6" s="146"/>
      <c r="F6" s="146"/>
      <c r="G6" s="146"/>
      <c r="H6" s="146"/>
      <c r="I6" s="144" t="s">
        <v>1074</v>
      </c>
      <c r="J6" s="148"/>
      <c r="K6" s="148"/>
      <c r="L6" s="148"/>
      <c r="M6" s="148"/>
    </row>
    <row r="7" s="178" customFormat="true" ht="21" hidden="false" customHeight="true" outlineLevel="0" collapsed="false">
      <c r="A7" s="139" t="s">
        <v>909</v>
      </c>
      <c r="B7" s="140" t="s">
        <v>1084</v>
      </c>
      <c r="C7" s="139" t="s">
        <v>1085</v>
      </c>
      <c r="D7" s="139" t="s">
        <v>1086</v>
      </c>
      <c r="E7" s="141"/>
      <c r="F7" s="141"/>
      <c r="G7" s="141"/>
      <c r="H7" s="141"/>
      <c r="I7" s="139" t="s">
        <v>1074</v>
      </c>
      <c r="J7" s="176"/>
      <c r="K7" s="176"/>
      <c r="L7" s="176"/>
      <c r="M7" s="176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7"/>
      <c r="BJ7" s="177"/>
      <c r="BK7" s="177"/>
      <c r="BL7" s="177"/>
      <c r="BM7" s="177"/>
      <c r="BN7" s="177"/>
      <c r="BO7" s="177"/>
      <c r="BP7" s="177"/>
      <c r="BQ7" s="177"/>
      <c r="BR7" s="177"/>
      <c r="BS7" s="177"/>
      <c r="BT7" s="177"/>
      <c r="BU7" s="177"/>
      <c r="BV7" s="177"/>
      <c r="BW7" s="177"/>
      <c r="BX7" s="177"/>
      <c r="BY7" s="177"/>
      <c r="BZ7" s="177"/>
      <c r="CA7" s="177"/>
      <c r="CB7" s="177"/>
      <c r="CC7" s="177"/>
      <c r="CD7" s="177"/>
      <c r="CE7" s="177"/>
      <c r="CF7" s="177"/>
      <c r="CG7" s="177"/>
      <c r="CH7" s="177"/>
      <c r="CI7" s="177"/>
      <c r="CJ7" s="177"/>
      <c r="CK7" s="177"/>
      <c r="CL7" s="177"/>
      <c r="CM7" s="177"/>
      <c r="CN7" s="177"/>
      <c r="CO7" s="177"/>
      <c r="CP7" s="177"/>
      <c r="CQ7" s="177"/>
      <c r="CR7" s="177"/>
      <c r="CS7" s="177"/>
      <c r="CT7" s="177"/>
      <c r="CU7" s="177"/>
      <c r="CV7" s="177"/>
      <c r="CW7" s="177"/>
      <c r="CX7" s="177"/>
      <c r="CY7" s="177"/>
      <c r="CZ7" s="177"/>
      <c r="DA7" s="177"/>
      <c r="DB7" s="177"/>
      <c r="DC7" s="177"/>
      <c r="DD7" s="177"/>
      <c r="DE7" s="177"/>
      <c r="DF7" s="177"/>
      <c r="DG7" s="177"/>
      <c r="DH7" s="177"/>
      <c r="DI7" s="177"/>
      <c r="DJ7" s="177"/>
      <c r="DK7" s="177"/>
      <c r="DL7" s="177"/>
      <c r="DM7" s="177"/>
      <c r="DN7" s="177"/>
      <c r="DO7" s="177"/>
      <c r="DP7" s="177"/>
      <c r="DQ7" s="177"/>
      <c r="DR7" s="177"/>
      <c r="DS7" s="177"/>
      <c r="DT7" s="177"/>
      <c r="DU7" s="177"/>
      <c r="DV7" s="177"/>
      <c r="DW7" s="177"/>
      <c r="DX7" s="177"/>
      <c r="DY7" s="177"/>
      <c r="DZ7" s="177"/>
      <c r="EA7" s="177"/>
      <c r="EB7" s="177"/>
      <c r="EC7" s="177"/>
      <c r="ED7" s="177"/>
      <c r="EE7" s="177"/>
      <c r="EF7" s="177"/>
      <c r="EG7" s="177"/>
      <c r="EH7" s="177"/>
      <c r="EI7" s="177"/>
      <c r="EJ7" s="177"/>
      <c r="EK7" s="177"/>
      <c r="EL7" s="177"/>
      <c r="EM7" s="177"/>
      <c r="EN7" s="177"/>
      <c r="EO7" s="177"/>
      <c r="EP7" s="177"/>
      <c r="EQ7" s="177"/>
      <c r="ER7" s="177"/>
      <c r="ES7" s="177"/>
      <c r="ET7" s="177"/>
      <c r="EU7" s="177"/>
      <c r="EV7" s="177"/>
      <c r="EW7" s="177"/>
      <c r="EX7" s="177"/>
      <c r="EY7" s="177"/>
      <c r="EZ7" s="177"/>
      <c r="FA7" s="177"/>
      <c r="FB7" s="177"/>
      <c r="FC7" s="177"/>
      <c r="FD7" s="177"/>
      <c r="FE7" s="177"/>
      <c r="FF7" s="177"/>
      <c r="FG7" s="177"/>
      <c r="FH7" s="177"/>
      <c r="FI7" s="177"/>
      <c r="FJ7" s="177"/>
      <c r="FK7" s="177"/>
      <c r="FL7" s="177"/>
      <c r="FM7" s="177"/>
      <c r="FN7" s="177"/>
      <c r="FO7" s="177"/>
      <c r="FP7" s="177"/>
      <c r="FQ7" s="177"/>
      <c r="FR7" s="177"/>
      <c r="FS7" s="177"/>
      <c r="FT7" s="177"/>
      <c r="FU7" s="177"/>
      <c r="FV7" s="177"/>
      <c r="FW7" s="177"/>
      <c r="FX7" s="177"/>
      <c r="FY7" s="177"/>
      <c r="FZ7" s="177"/>
      <c r="GA7" s="177"/>
      <c r="GB7" s="177"/>
      <c r="GC7" s="177"/>
      <c r="GD7" s="177"/>
      <c r="GE7" s="177"/>
      <c r="GF7" s="177"/>
      <c r="GG7" s="177"/>
      <c r="GH7" s="177"/>
      <c r="GI7" s="177"/>
      <c r="GJ7" s="177"/>
      <c r="GK7" s="177"/>
      <c r="GL7" s="177"/>
      <c r="GM7" s="177"/>
      <c r="GN7" s="177"/>
      <c r="GO7" s="177"/>
      <c r="GP7" s="177"/>
      <c r="GQ7" s="177"/>
      <c r="GR7" s="177"/>
      <c r="GS7" s="177"/>
      <c r="GT7" s="177"/>
      <c r="GU7" s="177"/>
      <c r="GV7" s="177"/>
      <c r="GW7" s="177"/>
      <c r="GX7" s="177"/>
      <c r="GY7" s="177"/>
      <c r="GZ7" s="177"/>
      <c r="HA7" s="177"/>
      <c r="HB7" s="177"/>
      <c r="HC7" s="177"/>
      <c r="HD7" s="177"/>
      <c r="HE7" s="177"/>
      <c r="HF7" s="177"/>
      <c r="HG7" s="177"/>
      <c r="HH7" s="177"/>
      <c r="HI7" s="177"/>
      <c r="HJ7" s="177"/>
      <c r="HK7" s="177"/>
      <c r="HL7" s="177"/>
      <c r="HM7" s="177"/>
      <c r="HN7" s="177"/>
      <c r="HO7" s="177"/>
      <c r="HP7" s="177"/>
      <c r="HQ7" s="177"/>
      <c r="HR7" s="177"/>
      <c r="HS7" s="177"/>
      <c r="HT7" s="177"/>
      <c r="HU7" s="177"/>
      <c r="HV7" s="177"/>
      <c r="HW7" s="177"/>
      <c r="HX7" s="177"/>
      <c r="HY7" s="177"/>
      <c r="HZ7" s="177"/>
      <c r="IA7" s="177"/>
      <c r="IB7" s="177"/>
      <c r="IC7" s="177"/>
      <c r="ID7" s="177"/>
      <c r="IE7" s="177"/>
      <c r="IF7" s="177"/>
      <c r="IG7" s="177"/>
      <c r="IH7" s="177"/>
      <c r="II7" s="177"/>
      <c r="IJ7" s="177"/>
      <c r="IK7" s="177"/>
      <c r="IL7" s="177"/>
      <c r="IM7" s="177"/>
      <c r="IN7" s="177"/>
      <c r="IO7" s="177"/>
      <c r="IP7" s="177"/>
      <c r="IQ7" s="177"/>
      <c r="IR7" s="177"/>
      <c r="IS7" s="177"/>
      <c r="IT7" s="177"/>
      <c r="IU7" s="177"/>
      <c r="IV7" s="177"/>
      <c r="IW7" s="177"/>
      <c r="IX7" s="177"/>
      <c r="IY7" s="177"/>
      <c r="IZ7" s="177"/>
      <c r="JA7" s="177"/>
      <c r="JB7" s="177"/>
      <c r="JC7" s="177"/>
      <c r="JD7" s="177"/>
      <c r="JE7" s="177"/>
      <c r="JF7" s="177"/>
      <c r="JG7" s="177"/>
      <c r="JH7" s="177"/>
      <c r="JI7" s="177"/>
      <c r="JJ7" s="177"/>
      <c r="JK7" s="177"/>
      <c r="JL7" s="177"/>
      <c r="JM7" s="177"/>
      <c r="JN7" s="177"/>
      <c r="JO7" s="177"/>
      <c r="JP7" s="177"/>
      <c r="JQ7" s="177"/>
      <c r="JR7" s="177"/>
    </row>
    <row r="8" s="178" customFormat="true" ht="21" hidden="false" customHeight="true" outlineLevel="0" collapsed="false">
      <c r="A8" s="144" t="s">
        <v>909</v>
      </c>
      <c r="B8" s="145" t="s">
        <v>1087</v>
      </c>
      <c r="C8" s="144" t="s">
        <v>1088</v>
      </c>
      <c r="D8" s="144" t="s">
        <v>1089</v>
      </c>
      <c r="E8" s="146"/>
      <c r="F8" s="146"/>
      <c r="G8" s="146"/>
      <c r="H8" s="146"/>
      <c r="I8" s="144" t="s">
        <v>1074</v>
      </c>
      <c r="J8" s="179"/>
      <c r="K8" s="179"/>
      <c r="L8" s="179"/>
      <c r="M8" s="179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  <c r="BM8" s="177"/>
      <c r="BN8" s="177"/>
      <c r="BO8" s="177"/>
      <c r="BP8" s="177"/>
      <c r="BQ8" s="177"/>
      <c r="BR8" s="177"/>
      <c r="BS8" s="177"/>
      <c r="BT8" s="177"/>
      <c r="BU8" s="177"/>
      <c r="BV8" s="177"/>
      <c r="BW8" s="177"/>
      <c r="BX8" s="177"/>
      <c r="BY8" s="177"/>
      <c r="BZ8" s="177"/>
      <c r="CA8" s="177"/>
      <c r="CB8" s="177"/>
      <c r="CC8" s="177"/>
      <c r="CD8" s="177"/>
      <c r="CE8" s="177"/>
      <c r="CF8" s="177"/>
      <c r="CG8" s="177"/>
      <c r="CH8" s="177"/>
      <c r="CI8" s="177"/>
      <c r="CJ8" s="177"/>
      <c r="CK8" s="177"/>
      <c r="CL8" s="177"/>
      <c r="CM8" s="177"/>
      <c r="CN8" s="177"/>
      <c r="CO8" s="177"/>
      <c r="CP8" s="177"/>
      <c r="CQ8" s="177"/>
      <c r="CR8" s="177"/>
      <c r="CS8" s="177"/>
      <c r="CT8" s="177"/>
      <c r="CU8" s="177"/>
      <c r="CV8" s="177"/>
      <c r="CW8" s="177"/>
      <c r="CX8" s="177"/>
      <c r="CY8" s="177"/>
      <c r="CZ8" s="177"/>
      <c r="DA8" s="177"/>
      <c r="DB8" s="177"/>
      <c r="DC8" s="177"/>
      <c r="DD8" s="177"/>
      <c r="DE8" s="177"/>
      <c r="DF8" s="177"/>
      <c r="DG8" s="177"/>
      <c r="DH8" s="177"/>
      <c r="DI8" s="177"/>
      <c r="DJ8" s="177"/>
      <c r="DK8" s="177"/>
      <c r="DL8" s="177"/>
      <c r="DM8" s="177"/>
      <c r="DN8" s="177"/>
      <c r="DO8" s="177"/>
      <c r="DP8" s="177"/>
      <c r="DQ8" s="177"/>
      <c r="DR8" s="177"/>
      <c r="DS8" s="177"/>
      <c r="DT8" s="177"/>
      <c r="DU8" s="177"/>
      <c r="DV8" s="177"/>
      <c r="DW8" s="177"/>
      <c r="DX8" s="177"/>
      <c r="DY8" s="177"/>
      <c r="DZ8" s="177"/>
      <c r="EA8" s="177"/>
      <c r="EB8" s="177"/>
      <c r="EC8" s="177"/>
      <c r="ED8" s="177"/>
      <c r="EE8" s="177"/>
      <c r="EF8" s="177"/>
      <c r="EG8" s="177"/>
      <c r="EH8" s="177"/>
      <c r="EI8" s="177"/>
      <c r="EJ8" s="177"/>
      <c r="EK8" s="177"/>
      <c r="EL8" s="177"/>
      <c r="EM8" s="177"/>
      <c r="EN8" s="177"/>
      <c r="EO8" s="177"/>
      <c r="EP8" s="177"/>
      <c r="EQ8" s="177"/>
      <c r="ER8" s="177"/>
      <c r="ES8" s="177"/>
      <c r="ET8" s="177"/>
      <c r="EU8" s="177"/>
      <c r="EV8" s="177"/>
      <c r="EW8" s="177"/>
      <c r="EX8" s="177"/>
      <c r="EY8" s="177"/>
      <c r="EZ8" s="177"/>
      <c r="FA8" s="177"/>
      <c r="FB8" s="177"/>
      <c r="FC8" s="177"/>
      <c r="FD8" s="177"/>
      <c r="FE8" s="177"/>
      <c r="FF8" s="177"/>
      <c r="FG8" s="177"/>
      <c r="FH8" s="177"/>
      <c r="FI8" s="177"/>
      <c r="FJ8" s="177"/>
      <c r="FK8" s="177"/>
      <c r="FL8" s="177"/>
      <c r="FM8" s="177"/>
      <c r="FN8" s="177"/>
      <c r="FO8" s="177"/>
      <c r="FP8" s="177"/>
      <c r="FQ8" s="177"/>
      <c r="FR8" s="177"/>
      <c r="FS8" s="177"/>
      <c r="FT8" s="177"/>
      <c r="FU8" s="177"/>
      <c r="FV8" s="177"/>
      <c r="FW8" s="177"/>
      <c r="FX8" s="177"/>
      <c r="FY8" s="177"/>
      <c r="FZ8" s="177"/>
      <c r="GA8" s="177"/>
      <c r="GB8" s="177"/>
      <c r="GC8" s="177"/>
      <c r="GD8" s="177"/>
      <c r="GE8" s="177"/>
      <c r="GF8" s="177"/>
      <c r="GG8" s="177"/>
      <c r="GH8" s="177"/>
      <c r="GI8" s="177"/>
      <c r="GJ8" s="177"/>
      <c r="GK8" s="177"/>
      <c r="GL8" s="177"/>
      <c r="GM8" s="177"/>
      <c r="GN8" s="177"/>
      <c r="GO8" s="177"/>
      <c r="GP8" s="177"/>
      <c r="GQ8" s="177"/>
      <c r="GR8" s="177"/>
      <c r="GS8" s="177"/>
      <c r="GT8" s="177"/>
      <c r="GU8" s="177"/>
      <c r="GV8" s="177"/>
      <c r="GW8" s="177"/>
      <c r="GX8" s="177"/>
      <c r="GY8" s="177"/>
      <c r="GZ8" s="177"/>
      <c r="HA8" s="177"/>
      <c r="HB8" s="177"/>
      <c r="HC8" s="177"/>
      <c r="HD8" s="177"/>
      <c r="HE8" s="177"/>
      <c r="HF8" s="177"/>
      <c r="HG8" s="177"/>
      <c r="HH8" s="177"/>
      <c r="HI8" s="177"/>
      <c r="HJ8" s="177"/>
      <c r="HK8" s="177"/>
      <c r="HL8" s="177"/>
      <c r="HM8" s="177"/>
      <c r="HN8" s="177"/>
      <c r="HO8" s="177"/>
      <c r="HP8" s="177"/>
      <c r="HQ8" s="177"/>
      <c r="HR8" s="177"/>
      <c r="HS8" s="177"/>
      <c r="HT8" s="177"/>
      <c r="HU8" s="177"/>
      <c r="HV8" s="177"/>
      <c r="HW8" s="177"/>
      <c r="HX8" s="177"/>
      <c r="HY8" s="177"/>
      <c r="HZ8" s="177"/>
      <c r="IA8" s="177"/>
      <c r="IB8" s="177"/>
      <c r="IC8" s="177"/>
      <c r="ID8" s="177"/>
      <c r="IE8" s="177"/>
      <c r="IF8" s="177"/>
      <c r="IG8" s="177"/>
      <c r="IH8" s="177"/>
      <c r="II8" s="177"/>
      <c r="IJ8" s="177"/>
      <c r="IK8" s="177"/>
      <c r="IL8" s="177"/>
      <c r="IM8" s="177"/>
      <c r="IN8" s="177"/>
      <c r="IO8" s="177"/>
      <c r="IP8" s="177"/>
      <c r="IQ8" s="177"/>
      <c r="IR8" s="177"/>
      <c r="IS8" s="177"/>
      <c r="IT8" s="177"/>
      <c r="IU8" s="177"/>
      <c r="IV8" s="177"/>
      <c r="IW8" s="177"/>
      <c r="IX8" s="177"/>
      <c r="IY8" s="177"/>
      <c r="IZ8" s="177"/>
      <c r="JA8" s="177"/>
      <c r="JB8" s="177"/>
      <c r="JC8" s="177"/>
      <c r="JD8" s="177"/>
      <c r="JE8" s="177"/>
      <c r="JF8" s="177"/>
      <c r="JG8" s="177"/>
      <c r="JH8" s="177"/>
      <c r="JI8" s="177"/>
      <c r="JJ8" s="177"/>
      <c r="JK8" s="177"/>
      <c r="JL8" s="177"/>
      <c r="JM8" s="177"/>
      <c r="JN8" s="177"/>
      <c r="JO8" s="177"/>
      <c r="JP8" s="177"/>
      <c r="JQ8" s="177"/>
      <c r="JR8" s="177"/>
    </row>
    <row r="9" s="178" customFormat="true" ht="21" hidden="false" customHeight="true" outlineLevel="0" collapsed="false">
      <c r="A9" s="139" t="s">
        <v>949</v>
      </c>
      <c r="B9" s="140" t="s">
        <v>1090</v>
      </c>
      <c r="C9" s="139" t="s">
        <v>1091</v>
      </c>
      <c r="D9" s="139" t="s">
        <v>1092</v>
      </c>
      <c r="E9" s="141"/>
      <c r="F9" s="141"/>
      <c r="G9" s="141"/>
      <c r="H9" s="141"/>
      <c r="I9" s="141"/>
      <c r="J9" s="176"/>
      <c r="K9" s="176"/>
      <c r="L9" s="176"/>
      <c r="M9" s="176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7"/>
      <c r="CA9" s="177"/>
      <c r="CB9" s="177"/>
      <c r="CC9" s="177"/>
      <c r="CD9" s="177"/>
      <c r="CE9" s="177"/>
      <c r="CF9" s="177"/>
      <c r="CG9" s="177"/>
      <c r="CH9" s="177"/>
      <c r="CI9" s="177"/>
      <c r="CJ9" s="177"/>
      <c r="CK9" s="177"/>
      <c r="CL9" s="177"/>
      <c r="CM9" s="177"/>
      <c r="CN9" s="177"/>
      <c r="CO9" s="177"/>
      <c r="CP9" s="177"/>
      <c r="CQ9" s="177"/>
      <c r="CR9" s="177"/>
      <c r="CS9" s="177"/>
      <c r="CT9" s="177"/>
      <c r="CU9" s="177"/>
      <c r="CV9" s="177"/>
      <c r="CW9" s="177"/>
      <c r="CX9" s="177"/>
      <c r="CY9" s="177"/>
      <c r="CZ9" s="177"/>
      <c r="DA9" s="177"/>
      <c r="DB9" s="177"/>
      <c r="DC9" s="177"/>
      <c r="DD9" s="177"/>
      <c r="DE9" s="177"/>
      <c r="DF9" s="177"/>
      <c r="DG9" s="177"/>
      <c r="DH9" s="177"/>
      <c r="DI9" s="177"/>
      <c r="DJ9" s="177"/>
      <c r="DK9" s="177"/>
      <c r="DL9" s="177"/>
      <c r="DM9" s="177"/>
      <c r="DN9" s="177"/>
      <c r="DO9" s="177"/>
      <c r="DP9" s="177"/>
      <c r="DQ9" s="177"/>
      <c r="DR9" s="177"/>
      <c r="DS9" s="177"/>
      <c r="DT9" s="177"/>
      <c r="DU9" s="177"/>
      <c r="DV9" s="177"/>
      <c r="DW9" s="177"/>
      <c r="DX9" s="177"/>
      <c r="DY9" s="177"/>
      <c r="DZ9" s="177"/>
      <c r="EA9" s="177"/>
      <c r="EB9" s="177"/>
      <c r="EC9" s="177"/>
      <c r="ED9" s="177"/>
      <c r="EE9" s="177"/>
      <c r="EF9" s="177"/>
      <c r="EG9" s="177"/>
      <c r="EH9" s="177"/>
      <c r="EI9" s="177"/>
      <c r="EJ9" s="177"/>
      <c r="EK9" s="177"/>
      <c r="EL9" s="177"/>
      <c r="EM9" s="177"/>
      <c r="EN9" s="177"/>
      <c r="EO9" s="177"/>
      <c r="EP9" s="177"/>
      <c r="EQ9" s="177"/>
      <c r="ER9" s="177"/>
      <c r="ES9" s="177"/>
      <c r="ET9" s="177"/>
      <c r="EU9" s="177"/>
      <c r="EV9" s="177"/>
      <c r="EW9" s="177"/>
      <c r="EX9" s="177"/>
      <c r="EY9" s="177"/>
      <c r="EZ9" s="177"/>
      <c r="FA9" s="177"/>
      <c r="FB9" s="177"/>
      <c r="FC9" s="177"/>
      <c r="FD9" s="177"/>
      <c r="FE9" s="177"/>
      <c r="FF9" s="177"/>
      <c r="FG9" s="177"/>
      <c r="FH9" s="177"/>
      <c r="FI9" s="177"/>
      <c r="FJ9" s="177"/>
      <c r="FK9" s="177"/>
      <c r="FL9" s="177"/>
      <c r="FM9" s="177"/>
      <c r="FN9" s="177"/>
      <c r="FO9" s="177"/>
      <c r="FP9" s="177"/>
      <c r="FQ9" s="177"/>
      <c r="FR9" s="177"/>
      <c r="FS9" s="177"/>
      <c r="FT9" s="177"/>
      <c r="FU9" s="177"/>
      <c r="FV9" s="177"/>
      <c r="FW9" s="177"/>
      <c r="FX9" s="177"/>
      <c r="FY9" s="177"/>
      <c r="FZ9" s="177"/>
      <c r="GA9" s="177"/>
      <c r="GB9" s="177"/>
      <c r="GC9" s="177"/>
      <c r="GD9" s="177"/>
      <c r="GE9" s="177"/>
      <c r="GF9" s="177"/>
      <c r="GG9" s="177"/>
      <c r="GH9" s="177"/>
      <c r="GI9" s="177"/>
      <c r="GJ9" s="177"/>
      <c r="GK9" s="177"/>
      <c r="GL9" s="177"/>
      <c r="GM9" s="177"/>
      <c r="GN9" s="177"/>
      <c r="GO9" s="177"/>
      <c r="GP9" s="177"/>
      <c r="GQ9" s="177"/>
      <c r="GR9" s="177"/>
      <c r="GS9" s="177"/>
      <c r="GT9" s="177"/>
      <c r="GU9" s="177"/>
      <c r="GV9" s="177"/>
      <c r="GW9" s="177"/>
      <c r="GX9" s="177"/>
      <c r="GY9" s="177"/>
      <c r="GZ9" s="177"/>
      <c r="HA9" s="177"/>
      <c r="HB9" s="177"/>
      <c r="HC9" s="177"/>
      <c r="HD9" s="177"/>
      <c r="HE9" s="177"/>
      <c r="HF9" s="177"/>
      <c r="HG9" s="177"/>
      <c r="HH9" s="177"/>
      <c r="HI9" s="177"/>
      <c r="HJ9" s="177"/>
      <c r="HK9" s="177"/>
      <c r="HL9" s="177"/>
      <c r="HM9" s="177"/>
      <c r="HN9" s="177"/>
      <c r="HO9" s="177"/>
      <c r="HP9" s="177"/>
      <c r="HQ9" s="177"/>
      <c r="HR9" s="177"/>
      <c r="HS9" s="177"/>
      <c r="HT9" s="177"/>
      <c r="HU9" s="177"/>
      <c r="HV9" s="177"/>
      <c r="HW9" s="177"/>
      <c r="HX9" s="177"/>
      <c r="HY9" s="177"/>
      <c r="HZ9" s="177"/>
      <c r="IA9" s="177"/>
      <c r="IB9" s="177"/>
      <c r="IC9" s="177"/>
      <c r="ID9" s="177"/>
      <c r="IE9" s="177"/>
      <c r="IF9" s="177"/>
      <c r="IG9" s="177"/>
      <c r="IH9" s="177"/>
      <c r="II9" s="177"/>
      <c r="IJ9" s="177"/>
      <c r="IK9" s="177"/>
      <c r="IL9" s="177"/>
      <c r="IM9" s="177"/>
      <c r="IN9" s="177"/>
      <c r="IO9" s="177"/>
      <c r="IP9" s="177"/>
      <c r="IQ9" s="177"/>
      <c r="IR9" s="177"/>
      <c r="IS9" s="177"/>
      <c r="IT9" s="177"/>
      <c r="IU9" s="177"/>
      <c r="IV9" s="177"/>
      <c r="IW9" s="177"/>
      <c r="IX9" s="177"/>
      <c r="IY9" s="177"/>
      <c r="IZ9" s="177"/>
      <c r="JA9" s="177"/>
      <c r="JB9" s="177"/>
      <c r="JC9" s="177"/>
      <c r="JD9" s="177"/>
      <c r="JE9" s="177"/>
      <c r="JF9" s="177"/>
      <c r="JG9" s="177"/>
      <c r="JH9" s="177"/>
      <c r="JI9" s="177"/>
      <c r="JJ9" s="177"/>
      <c r="JK9" s="177"/>
      <c r="JL9" s="177"/>
      <c r="JM9" s="177"/>
      <c r="JN9" s="177"/>
      <c r="JO9" s="177"/>
      <c r="JP9" s="177"/>
      <c r="JQ9" s="177"/>
      <c r="JR9" s="177"/>
    </row>
    <row r="10" s="178" customFormat="true" ht="21" hidden="false" customHeight="true" outlineLevel="0" collapsed="false">
      <c r="A10" s="144" t="s">
        <v>909</v>
      </c>
      <c r="B10" s="145" t="s">
        <v>1093</v>
      </c>
      <c r="C10" s="144" t="s">
        <v>1094</v>
      </c>
      <c r="D10" s="144" t="s">
        <v>1095</v>
      </c>
      <c r="E10" s="146"/>
      <c r="F10" s="146"/>
      <c r="G10" s="146"/>
      <c r="H10" s="146"/>
      <c r="I10" s="144" t="s">
        <v>1074</v>
      </c>
      <c r="J10" s="179"/>
      <c r="K10" s="179"/>
      <c r="L10" s="179"/>
      <c r="M10" s="179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  <c r="GR10" s="177"/>
      <c r="GS10" s="177"/>
      <c r="GT10" s="177"/>
      <c r="GU10" s="177"/>
      <c r="GV10" s="177"/>
      <c r="GW10" s="177"/>
      <c r="GX10" s="177"/>
      <c r="GY10" s="177"/>
      <c r="GZ10" s="177"/>
      <c r="HA10" s="177"/>
      <c r="HB10" s="177"/>
      <c r="HC10" s="177"/>
      <c r="HD10" s="177"/>
      <c r="HE10" s="177"/>
      <c r="HF10" s="177"/>
      <c r="HG10" s="177"/>
      <c r="HH10" s="177"/>
      <c r="HI10" s="177"/>
      <c r="HJ10" s="177"/>
      <c r="HK10" s="177"/>
      <c r="HL10" s="177"/>
      <c r="HM10" s="177"/>
      <c r="HN10" s="177"/>
      <c r="HO10" s="177"/>
      <c r="HP10" s="177"/>
      <c r="HQ10" s="177"/>
      <c r="HR10" s="177"/>
      <c r="HS10" s="177"/>
      <c r="HT10" s="177"/>
      <c r="HU10" s="177"/>
      <c r="HV10" s="177"/>
      <c r="HW10" s="177"/>
      <c r="HX10" s="177"/>
      <c r="HY10" s="177"/>
      <c r="HZ10" s="177"/>
      <c r="IA10" s="177"/>
      <c r="IB10" s="177"/>
      <c r="IC10" s="177"/>
      <c r="ID10" s="177"/>
      <c r="IE10" s="177"/>
      <c r="IF10" s="177"/>
      <c r="IG10" s="177"/>
      <c r="IH10" s="177"/>
      <c r="II10" s="177"/>
      <c r="IJ10" s="177"/>
      <c r="IK10" s="177"/>
      <c r="IL10" s="177"/>
      <c r="IM10" s="177"/>
      <c r="IN10" s="177"/>
      <c r="IO10" s="177"/>
      <c r="IP10" s="177"/>
      <c r="IQ10" s="177"/>
      <c r="IR10" s="177"/>
      <c r="IS10" s="177"/>
      <c r="IT10" s="177"/>
      <c r="IU10" s="177"/>
      <c r="IV10" s="177"/>
      <c r="IW10" s="177"/>
      <c r="IX10" s="177"/>
      <c r="IY10" s="177"/>
      <c r="IZ10" s="177"/>
      <c r="JA10" s="177"/>
      <c r="JB10" s="177"/>
      <c r="JC10" s="177"/>
      <c r="JD10" s="177"/>
      <c r="JE10" s="177"/>
      <c r="JF10" s="177"/>
      <c r="JG10" s="177"/>
      <c r="JH10" s="177"/>
      <c r="JI10" s="177"/>
      <c r="JJ10" s="177"/>
      <c r="JK10" s="177"/>
      <c r="JL10" s="177"/>
      <c r="JM10" s="177"/>
      <c r="JN10" s="177"/>
      <c r="JO10" s="177"/>
      <c r="JP10" s="177"/>
      <c r="JQ10" s="177"/>
      <c r="JR10" s="177"/>
    </row>
    <row r="11" s="178" customFormat="true" ht="21" hidden="false" customHeight="true" outlineLevel="0" collapsed="false">
      <c r="A11" s="139" t="s">
        <v>1096</v>
      </c>
      <c r="B11" s="140" t="s">
        <v>1097</v>
      </c>
      <c r="C11" s="139" t="s">
        <v>1098</v>
      </c>
      <c r="D11" s="139" t="s">
        <v>1099</v>
      </c>
      <c r="E11" s="141"/>
      <c r="F11" s="141"/>
      <c r="G11" s="141"/>
      <c r="H11" s="141"/>
      <c r="I11" s="141"/>
      <c r="J11" s="176"/>
      <c r="K11" s="176"/>
      <c r="L11" s="176"/>
      <c r="M11" s="176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77"/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7"/>
      <c r="DL11" s="177"/>
      <c r="DM11" s="177"/>
      <c r="DN11" s="177"/>
      <c r="DO11" s="177"/>
      <c r="DP11" s="177"/>
      <c r="DQ11" s="177"/>
      <c r="DR11" s="177"/>
      <c r="DS11" s="177"/>
      <c r="DT11" s="177"/>
      <c r="DU11" s="177"/>
      <c r="DV11" s="177"/>
      <c r="DW11" s="177"/>
      <c r="DX11" s="177"/>
      <c r="DY11" s="177"/>
      <c r="DZ11" s="177"/>
      <c r="EA11" s="177"/>
      <c r="EB11" s="177"/>
      <c r="EC11" s="177"/>
      <c r="ED11" s="177"/>
      <c r="EE11" s="177"/>
      <c r="EF11" s="177"/>
      <c r="EG11" s="177"/>
      <c r="EH11" s="177"/>
      <c r="EI11" s="177"/>
      <c r="EJ11" s="177"/>
      <c r="EK11" s="177"/>
      <c r="EL11" s="177"/>
      <c r="EM11" s="177"/>
      <c r="EN11" s="177"/>
      <c r="EO11" s="177"/>
      <c r="EP11" s="177"/>
      <c r="EQ11" s="177"/>
      <c r="ER11" s="177"/>
      <c r="ES11" s="177"/>
      <c r="ET11" s="177"/>
      <c r="EU11" s="177"/>
      <c r="EV11" s="177"/>
      <c r="EW11" s="177"/>
      <c r="EX11" s="177"/>
      <c r="EY11" s="177"/>
      <c r="EZ11" s="177"/>
      <c r="FA11" s="177"/>
      <c r="FB11" s="177"/>
      <c r="FC11" s="177"/>
      <c r="FD11" s="177"/>
      <c r="FE11" s="177"/>
      <c r="FF11" s="177"/>
      <c r="FG11" s="177"/>
      <c r="FH11" s="177"/>
      <c r="FI11" s="177"/>
      <c r="FJ11" s="177"/>
      <c r="FK11" s="177"/>
      <c r="FL11" s="177"/>
      <c r="FM11" s="177"/>
      <c r="FN11" s="177"/>
      <c r="FO11" s="177"/>
      <c r="FP11" s="177"/>
      <c r="FQ11" s="177"/>
      <c r="FR11" s="177"/>
      <c r="FS11" s="177"/>
      <c r="FT11" s="177"/>
      <c r="FU11" s="177"/>
      <c r="FV11" s="177"/>
      <c r="FW11" s="177"/>
      <c r="FX11" s="177"/>
      <c r="FY11" s="177"/>
      <c r="FZ11" s="177"/>
      <c r="GA11" s="177"/>
      <c r="GB11" s="177"/>
      <c r="GC11" s="177"/>
      <c r="GD11" s="177"/>
      <c r="GE11" s="177"/>
      <c r="GF11" s="177"/>
      <c r="GG11" s="177"/>
      <c r="GH11" s="177"/>
      <c r="GI11" s="177"/>
      <c r="GJ11" s="177"/>
      <c r="GK11" s="177"/>
      <c r="GL11" s="177"/>
      <c r="GM11" s="177"/>
      <c r="GN11" s="177"/>
      <c r="GO11" s="177"/>
      <c r="GP11" s="177"/>
      <c r="GQ11" s="177"/>
      <c r="GR11" s="177"/>
      <c r="GS11" s="177"/>
      <c r="GT11" s="177"/>
      <c r="GU11" s="177"/>
      <c r="GV11" s="177"/>
      <c r="GW11" s="177"/>
      <c r="GX11" s="177"/>
      <c r="GY11" s="177"/>
      <c r="GZ11" s="177"/>
      <c r="HA11" s="177"/>
      <c r="HB11" s="177"/>
      <c r="HC11" s="177"/>
      <c r="HD11" s="177"/>
      <c r="HE11" s="177"/>
      <c r="HF11" s="177"/>
      <c r="HG11" s="177"/>
      <c r="HH11" s="177"/>
      <c r="HI11" s="177"/>
      <c r="HJ11" s="177"/>
      <c r="HK11" s="177"/>
      <c r="HL11" s="177"/>
      <c r="HM11" s="177"/>
      <c r="HN11" s="177"/>
      <c r="HO11" s="177"/>
      <c r="HP11" s="177"/>
      <c r="HQ11" s="177"/>
      <c r="HR11" s="177"/>
      <c r="HS11" s="177"/>
      <c r="HT11" s="177"/>
      <c r="HU11" s="177"/>
      <c r="HV11" s="177"/>
      <c r="HW11" s="177"/>
      <c r="HX11" s="177"/>
      <c r="HY11" s="177"/>
      <c r="HZ11" s="177"/>
      <c r="IA11" s="177"/>
      <c r="IB11" s="177"/>
      <c r="IC11" s="177"/>
      <c r="ID11" s="177"/>
      <c r="IE11" s="177"/>
      <c r="IF11" s="177"/>
      <c r="IG11" s="177"/>
      <c r="IH11" s="177"/>
      <c r="II11" s="177"/>
      <c r="IJ11" s="177"/>
      <c r="IK11" s="177"/>
      <c r="IL11" s="177"/>
      <c r="IM11" s="177"/>
      <c r="IN11" s="177"/>
      <c r="IO11" s="177"/>
      <c r="IP11" s="177"/>
      <c r="IQ11" s="177"/>
      <c r="IR11" s="177"/>
      <c r="IS11" s="177"/>
      <c r="IT11" s="177"/>
      <c r="IU11" s="177"/>
      <c r="IV11" s="177"/>
      <c r="IW11" s="177"/>
      <c r="IX11" s="177"/>
      <c r="IY11" s="177"/>
      <c r="IZ11" s="177"/>
      <c r="JA11" s="177"/>
      <c r="JB11" s="177"/>
      <c r="JC11" s="177"/>
      <c r="JD11" s="177"/>
      <c r="JE11" s="177"/>
      <c r="JF11" s="177"/>
      <c r="JG11" s="177"/>
      <c r="JH11" s="177"/>
      <c r="JI11" s="177"/>
      <c r="JJ11" s="177"/>
      <c r="JK11" s="177"/>
      <c r="JL11" s="177"/>
      <c r="JM11" s="177"/>
      <c r="JN11" s="177"/>
      <c r="JO11" s="177"/>
      <c r="JP11" s="177"/>
      <c r="JQ11" s="177"/>
      <c r="JR11" s="177"/>
    </row>
    <row r="12" s="178" customFormat="true" ht="21" hidden="false" customHeight="true" outlineLevel="0" collapsed="false">
      <c r="A12" s="144" t="s">
        <v>1096</v>
      </c>
      <c r="B12" s="145" t="s">
        <v>1100</v>
      </c>
      <c r="C12" s="144" t="s">
        <v>1101</v>
      </c>
      <c r="D12" s="144" t="s">
        <v>1102</v>
      </c>
      <c r="E12" s="146"/>
      <c r="F12" s="146"/>
      <c r="G12" s="146"/>
      <c r="H12" s="146"/>
      <c r="I12" s="146"/>
      <c r="J12" s="179"/>
      <c r="K12" s="179"/>
      <c r="L12" s="179"/>
      <c r="M12" s="179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T12" s="177"/>
      <c r="CU12" s="177"/>
      <c r="CV12" s="177"/>
      <c r="CW12" s="177"/>
      <c r="CX12" s="177"/>
      <c r="CY12" s="177"/>
      <c r="CZ12" s="177"/>
      <c r="DA12" s="177"/>
      <c r="DB12" s="177"/>
      <c r="DC12" s="177"/>
      <c r="DD12" s="177"/>
      <c r="DE12" s="177"/>
      <c r="DF12" s="177"/>
      <c r="DG12" s="177"/>
      <c r="DH12" s="177"/>
      <c r="DI12" s="177"/>
      <c r="DJ12" s="177"/>
      <c r="DK12" s="177"/>
      <c r="DL12" s="177"/>
      <c r="DM12" s="177"/>
      <c r="DN12" s="177"/>
      <c r="DO12" s="177"/>
      <c r="DP12" s="177"/>
      <c r="DQ12" s="177"/>
      <c r="DR12" s="177"/>
      <c r="DS12" s="177"/>
      <c r="DT12" s="177"/>
      <c r="DU12" s="177"/>
      <c r="DV12" s="177"/>
      <c r="DW12" s="177"/>
      <c r="DX12" s="177"/>
      <c r="DY12" s="177"/>
      <c r="DZ12" s="177"/>
      <c r="EA12" s="177"/>
      <c r="EB12" s="177"/>
      <c r="EC12" s="177"/>
      <c r="ED12" s="177"/>
      <c r="EE12" s="177"/>
      <c r="EF12" s="177"/>
      <c r="EG12" s="177"/>
      <c r="EH12" s="177"/>
      <c r="EI12" s="177"/>
      <c r="EJ12" s="177"/>
      <c r="EK12" s="177"/>
      <c r="EL12" s="177"/>
      <c r="EM12" s="177"/>
      <c r="EN12" s="177"/>
      <c r="EO12" s="177"/>
      <c r="EP12" s="177"/>
      <c r="EQ12" s="177"/>
      <c r="ER12" s="177"/>
      <c r="ES12" s="177"/>
      <c r="ET12" s="177"/>
      <c r="EU12" s="177"/>
      <c r="EV12" s="177"/>
      <c r="EW12" s="177"/>
      <c r="EX12" s="177"/>
      <c r="EY12" s="177"/>
      <c r="EZ12" s="177"/>
      <c r="FA12" s="177"/>
      <c r="FB12" s="177"/>
      <c r="FC12" s="177"/>
      <c r="FD12" s="177"/>
      <c r="FE12" s="177"/>
      <c r="FF12" s="177"/>
      <c r="FG12" s="177"/>
      <c r="FH12" s="177"/>
      <c r="FI12" s="177"/>
      <c r="FJ12" s="177"/>
      <c r="FK12" s="177"/>
      <c r="FL12" s="177"/>
      <c r="FM12" s="177"/>
      <c r="FN12" s="177"/>
      <c r="FO12" s="177"/>
      <c r="FP12" s="177"/>
      <c r="FQ12" s="177"/>
      <c r="FR12" s="177"/>
      <c r="FS12" s="177"/>
      <c r="FT12" s="177"/>
      <c r="FU12" s="177"/>
      <c r="FV12" s="177"/>
      <c r="FW12" s="177"/>
      <c r="FX12" s="177"/>
      <c r="FY12" s="177"/>
      <c r="FZ12" s="177"/>
      <c r="GA12" s="177"/>
      <c r="GB12" s="177"/>
      <c r="GC12" s="177"/>
      <c r="GD12" s="177"/>
      <c r="GE12" s="177"/>
      <c r="GF12" s="177"/>
      <c r="GG12" s="177"/>
      <c r="GH12" s="177"/>
      <c r="GI12" s="177"/>
      <c r="GJ12" s="177"/>
      <c r="GK12" s="177"/>
      <c r="GL12" s="177"/>
      <c r="GM12" s="177"/>
      <c r="GN12" s="177"/>
      <c r="GO12" s="177"/>
      <c r="GP12" s="177"/>
      <c r="GQ12" s="177"/>
      <c r="GR12" s="177"/>
      <c r="GS12" s="177"/>
      <c r="GT12" s="177"/>
      <c r="GU12" s="177"/>
      <c r="GV12" s="177"/>
      <c r="GW12" s="177"/>
      <c r="GX12" s="177"/>
      <c r="GY12" s="177"/>
      <c r="GZ12" s="177"/>
      <c r="HA12" s="177"/>
      <c r="HB12" s="177"/>
      <c r="HC12" s="177"/>
      <c r="HD12" s="177"/>
      <c r="HE12" s="177"/>
      <c r="HF12" s="177"/>
      <c r="HG12" s="177"/>
      <c r="HH12" s="177"/>
      <c r="HI12" s="177"/>
      <c r="HJ12" s="177"/>
      <c r="HK12" s="177"/>
      <c r="HL12" s="177"/>
      <c r="HM12" s="177"/>
      <c r="HN12" s="177"/>
      <c r="HO12" s="177"/>
      <c r="HP12" s="177"/>
      <c r="HQ12" s="177"/>
      <c r="HR12" s="177"/>
      <c r="HS12" s="177"/>
      <c r="HT12" s="177"/>
      <c r="HU12" s="177"/>
      <c r="HV12" s="177"/>
      <c r="HW12" s="177"/>
      <c r="HX12" s="177"/>
      <c r="HY12" s="177"/>
      <c r="HZ12" s="177"/>
      <c r="IA12" s="177"/>
      <c r="IB12" s="177"/>
      <c r="IC12" s="177"/>
      <c r="ID12" s="177"/>
      <c r="IE12" s="177"/>
      <c r="IF12" s="177"/>
      <c r="IG12" s="177"/>
      <c r="IH12" s="177"/>
      <c r="II12" s="177"/>
      <c r="IJ12" s="177"/>
      <c r="IK12" s="177"/>
      <c r="IL12" s="177"/>
      <c r="IM12" s="177"/>
      <c r="IN12" s="177"/>
      <c r="IO12" s="177"/>
      <c r="IP12" s="177"/>
      <c r="IQ12" s="177"/>
      <c r="IR12" s="177"/>
      <c r="IS12" s="177"/>
      <c r="IT12" s="177"/>
      <c r="IU12" s="177"/>
      <c r="IV12" s="177"/>
      <c r="IW12" s="177"/>
      <c r="IX12" s="177"/>
      <c r="IY12" s="177"/>
      <c r="IZ12" s="177"/>
      <c r="JA12" s="177"/>
      <c r="JB12" s="177"/>
      <c r="JC12" s="177"/>
      <c r="JD12" s="177"/>
      <c r="JE12" s="177"/>
      <c r="JF12" s="177"/>
      <c r="JG12" s="177"/>
      <c r="JH12" s="177"/>
      <c r="JI12" s="177"/>
      <c r="JJ12" s="177"/>
      <c r="JK12" s="177"/>
      <c r="JL12" s="177"/>
      <c r="JM12" s="177"/>
      <c r="JN12" s="177"/>
      <c r="JO12" s="177"/>
      <c r="JP12" s="177"/>
      <c r="JQ12" s="177"/>
      <c r="JR12" s="177"/>
    </row>
    <row r="13" s="178" customFormat="true" ht="21" hidden="false" customHeight="true" outlineLevel="0" collapsed="false">
      <c r="A13" s="139" t="s">
        <v>909</v>
      </c>
      <c r="B13" s="140" t="s">
        <v>1103</v>
      </c>
      <c r="C13" s="139" t="s">
        <v>1104</v>
      </c>
      <c r="D13" s="139" t="s">
        <v>1105</v>
      </c>
      <c r="E13" s="141"/>
      <c r="F13" s="141"/>
      <c r="G13" s="141"/>
      <c r="H13" s="141"/>
      <c r="I13" s="141"/>
      <c r="J13" s="176"/>
      <c r="K13" s="176"/>
      <c r="L13" s="176"/>
      <c r="M13" s="176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7"/>
      <c r="DU13" s="177"/>
      <c r="DV13" s="177"/>
      <c r="DW13" s="177"/>
      <c r="DX13" s="177"/>
      <c r="DY13" s="177"/>
      <c r="DZ13" s="177"/>
      <c r="EA13" s="177"/>
      <c r="EB13" s="177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7"/>
      <c r="FE13" s="177"/>
      <c r="FF13" s="177"/>
      <c r="FG13" s="177"/>
      <c r="FH13" s="177"/>
      <c r="FI13" s="177"/>
      <c r="FJ13" s="177"/>
      <c r="FK13" s="177"/>
      <c r="FL13" s="177"/>
      <c r="FM13" s="177"/>
      <c r="FN13" s="177"/>
      <c r="FO13" s="177"/>
      <c r="FP13" s="177"/>
      <c r="FQ13" s="177"/>
      <c r="FR13" s="177"/>
      <c r="FS13" s="177"/>
      <c r="FT13" s="177"/>
      <c r="FU13" s="177"/>
      <c r="FV13" s="177"/>
      <c r="FW13" s="177"/>
      <c r="FX13" s="177"/>
      <c r="FY13" s="177"/>
      <c r="FZ13" s="177"/>
      <c r="GA13" s="177"/>
      <c r="GB13" s="177"/>
      <c r="GC13" s="177"/>
      <c r="GD13" s="177"/>
      <c r="GE13" s="177"/>
      <c r="GF13" s="177"/>
      <c r="GG13" s="177"/>
      <c r="GH13" s="177"/>
      <c r="GI13" s="177"/>
      <c r="GJ13" s="177"/>
      <c r="GK13" s="177"/>
      <c r="GL13" s="177"/>
      <c r="GM13" s="177"/>
      <c r="GN13" s="177"/>
      <c r="GO13" s="177"/>
      <c r="GP13" s="177"/>
      <c r="GQ13" s="177"/>
      <c r="GR13" s="177"/>
      <c r="GS13" s="177"/>
      <c r="GT13" s="177"/>
      <c r="GU13" s="177"/>
      <c r="GV13" s="177"/>
      <c r="GW13" s="177"/>
      <c r="GX13" s="177"/>
      <c r="GY13" s="177"/>
      <c r="GZ13" s="177"/>
      <c r="HA13" s="177"/>
      <c r="HB13" s="177"/>
      <c r="HC13" s="177"/>
      <c r="HD13" s="177"/>
      <c r="HE13" s="177"/>
      <c r="HF13" s="177"/>
      <c r="HG13" s="177"/>
      <c r="HH13" s="177"/>
      <c r="HI13" s="177"/>
      <c r="HJ13" s="177"/>
      <c r="HK13" s="177"/>
      <c r="HL13" s="177"/>
      <c r="HM13" s="177"/>
      <c r="HN13" s="177"/>
      <c r="HO13" s="177"/>
      <c r="HP13" s="177"/>
      <c r="HQ13" s="177"/>
      <c r="HR13" s="177"/>
      <c r="HS13" s="177"/>
      <c r="HT13" s="177"/>
      <c r="HU13" s="177"/>
      <c r="HV13" s="177"/>
      <c r="HW13" s="177"/>
      <c r="HX13" s="177"/>
      <c r="HY13" s="177"/>
      <c r="HZ13" s="177"/>
      <c r="IA13" s="177"/>
      <c r="IB13" s="177"/>
      <c r="IC13" s="177"/>
      <c r="ID13" s="177"/>
      <c r="IE13" s="177"/>
      <c r="IF13" s="177"/>
      <c r="IG13" s="177"/>
      <c r="IH13" s="177"/>
      <c r="II13" s="177"/>
      <c r="IJ13" s="177"/>
      <c r="IK13" s="177"/>
      <c r="IL13" s="177"/>
      <c r="IM13" s="177"/>
      <c r="IN13" s="177"/>
      <c r="IO13" s="177"/>
      <c r="IP13" s="177"/>
      <c r="IQ13" s="177"/>
      <c r="IR13" s="177"/>
      <c r="IS13" s="177"/>
      <c r="IT13" s="177"/>
      <c r="IU13" s="177"/>
      <c r="IV13" s="177"/>
      <c r="IW13" s="177"/>
      <c r="IX13" s="177"/>
      <c r="IY13" s="177"/>
      <c r="IZ13" s="177"/>
      <c r="JA13" s="177"/>
      <c r="JB13" s="177"/>
      <c r="JC13" s="177"/>
      <c r="JD13" s="177"/>
      <c r="JE13" s="177"/>
      <c r="JF13" s="177"/>
      <c r="JG13" s="177"/>
      <c r="JH13" s="177"/>
      <c r="JI13" s="177"/>
      <c r="JJ13" s="177"/>
      <c r="JK13" s="177"/>
      <c r="JL13" s="177"/>
      <c r="JM13" s="177"/>
      <c r="JN13" s="177"/>
      <c r="JO13" s="177"/>
      <c r="JP13" s="177"/>
      <c r="JQ13" s="177"/>
      <c r="JR13" s="177"/>
    </row>
    <row r="14" s="178" customFormat="true" ht="21" hidden="false" customHeight="true" outlineLevel="0" collapsed="false">
      <c r="A14" s="144" t="s">
        <v>909</v>
      </c>
      <c r="B14" s="145" t="s">
        <v>1106</v>
      </c>
      <c r="C14" s="144" t="s">
        <v>1104</v>
      </c>
      <c r="D14" s="144" t="s">
        <v>1107</v>
      </c>
      <c r="E14" s="146"/>
      <c r="F14" s="146"/>
      <c r="G14" s="146"/>
      <c r="H14" s="146"/>
      <c r="I14" s="146"/>
      <c r="J14" s="179"/>
      <c r="K14" s="179"/>
      <c r="L14" s="179"/>
      <c r="M14" s="179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7"/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7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7"/>
      <c r="GK14" s="177"/>
      <c r="GL14" s="177"/>
      <c r="GM14" s="177"/>
      <c r="GN14" s="177"/>
      <c r="GO14" s="177"/>
      <c r="GP14" s="177"/>
      <c r="GQ14" s="177"/>
      <c r="GR14" s="177"/>
      <c r="GS14" s="177"/>
      <c r="GT14" s="177"/>
      <c r="GU14" s="177"/>
      <c r="GV14" s="177"/>
      <c r="GW14" s="177"/>
      <c r="GX14" s="177"/>
      <c r="GY14" s="177"/>
      <c r="GZ14" s="177"/>
      <c r="HA14" s="177"/>
      <c r="HB14" s="177"/>
      <c r="HC14" s="177"/>
      <c r="HD14" s="177"/>
      <c r="HE14" s="177"/>
      <c r="HF14" s="177"/>
      <c r="HG14" s="177"/>
      <c r="HH14" s="177"/>
      <c r="HI14" s="177"/>
      <c r="HJ14" s="177"/>
      <c r="HK14" s="177"/>
      <c r="HL14" s="177"/>
      <c r="HM14" s="177"/>
      <c r="HN14" s="177"/>
      <c r="HO14" s="177"/>
      <c r="HP14" s="177"/>
      <c r="HQ14" s="177"/>
      <c r="HR14" s="177"/>
      <c r="HS14" s="177"/>
      <c r="HT14" s="177"/>
      <c r="HU14" s="177"/>
      <c r="HV14" s="177"/>
      <c r="HW14" s="177"/>
      <c r="HX14" s="177"/>
      <c r="HY14" s="177"/>
      <c r="HZ14" s="177"/>
      <c r="IA14" s="177"/>
      <c r="IB14" s="177"/>
      <c r="IC14" s="177"/>
      <c r="ID14" s="177"/>
      <c r="IE14" s="177"/>
      <c r="IF14" s="177"/>
      <c r="IG14" s="177"/>
      <c r="IH14" s="177"/>
      <c r="II14" s="177"/>
      <c r="IJ14" s="177"/>
      <c r="IK14" s="177"/>
      <c r="IL14" s="177"/>
      <c r="IM14" s="177"/>
      <c r="IN14" s="177"/>
      <c r="IO14" s="177"/>
      <c r="IP14" s="177"/>
      <c r="IQ14" s="177"/>
      <c r="IR14" s="177"/>
      <c r="IS14" s="177"/>
      <c r="IT14" s="177"/>
      <c r="IU14" s="177"/>
      <c r="IV14" s="177"/>
      <c r="IW14" s="177"/>
      <c r="IX14" s="177"/>
      <c r="IY14" s="177"/>
      <c r="IZ14" s="177"/>
      <c r="JA14" s="177"/>
      <c r="JB14" s="177"/>
      <c r="JC14" s="177"/>
      <c r="JD14" s="177"/>
      <c r="JE14" s="177"/>
      <c r="JF14" s="177"/>
      <c r="JG14" s="177"/>
      <c r="JH14" s="177"/>
      <c r="JI14" s="177"/>
      <c r="JJ14" s="177"/>
      <c r="JK14" s="177"/>
      <c r="JL14" s="177"/>
      <c r="JM14" s="177"/>
      <c r="JN14" s="177"/>
      <c r="JO14" s="177"/>
      <c r="JP14" s="177"/>
      <c r="JQ14" s="177"/>
      <c r="JR14" s="177"/>
    </row>
    <row r="15" s="178" customFormat="true" ht="21" hidden="false" customHeight="true" outlineLevel="0" collapsed="false">
      <c r="A15" s="139" t="s">
        <v>909</v>
      </c>
      <c r="B15" s="140" t="s">
        <v>1108</v>
      </c>
      <c r="C15" s="139" t="s">
        <v>1109</v>
      </c>
      <c r="D15" s="139" t="s">
        <v>1110</v>
      </c>
      <c r="E15" s="141"/>
      <c r="F15" s="141"/>
      <c r="G15" s="141"/>
      <c r="H15" s="141"/>
      <c r="I15" s="139" t="s">
        <v>1111</v>
      </c>
      <c r="J15" s="176"/>
      <c r="K15" s="176"/>
      <c r="L15" s="176"/>
      <c r="M15" s="176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  <c r="DN15" s="177"/>
      <c r="DO15" s="177"/>
      <c r="DP15" s="177"/>
      <c r="DQ15" s="177"/>
      <c r="DR15" s="177"/>
      <c r="DS15" s="177"/>
      <c r="DT15" s="177"/>
      <c r="DU15" s="177"/>
      <c r="DV15" s="177"/>
      <c r="DW15" s="177"/>
      <c r="DX15" s="177"/>
      <c r="DY15" s="177"/>
      <c r="DZ15" s="177"/>
      <c r="EA15" s="177"/>
      <c r="EB15" s="177"/>
      <c r="EC15" s="177"/>
      <c r="ED15" s="177"/>
      <c r="EE15" s="177"/>
      <c r="EF15" s="177"/>
      <c r="EG15" s="177"/>
      <c r="EH15" s="177"/>
      <c r="EI15" s="177"/>
      <c r="EJ15" s="177"/>
      <c r="EK15" s="177"/>
      <c r="EL15" s="177"/>
      <c r="EM15" s="177"/>
      <c r="EN15" s="177"/>
      <c r="EO15" s="177"/>
      <c r="EP15" s="177"/>
      <c r="EQ15" s="177"/>
      <c r="ER15" s="177"/>
      <c r="ES15" s="177"/>
      <c r="ET15" s="177"/>
      <c r="EU15" s="177"/>
      <c r="EV15" s="177"/>
      <c r="EW15" s="177"/>
      <c r="EX15" s="177"/>
      <c r="EY15" s="177"/>
      <c r="EZ15" s="177"/>
      <c r="FA15" s="177"/>
      <c r="FB15" s="177"/>
      <c r="FC15" s="177"/>
      <c r="FD15" s="177"/>
      <c r="FE15" s="177"/>
      <c r="FF15" s="177"/>
      <c r="FG15" s="177"/>
      <c r="FH15" s="177"/>
      <c r="FI15" s="177"/>
      <c r="FJ15" s="177"/>
      <c r="FK15" s="177"/>
      <c r="FL15" s="177"/>
      <c r="FM15" s="177"/>
      <c r="FN15" s="177"/>
      <c r="FO15" s="177"/>
      <c r="FP15" s="177"/>
      <c r="FQ15" s="177"/>
      <c r="FR15" s="177"/>
      <c r="FS15" s="177"/>
      <c r="FT15" s="177"/>
      <c r="FU15" s="177"/>
      <c r="FV15" s="177"/>
      <c r="FW15" s="177"/>
      <c r="FX15" s="177"/>
      <c r="FY15" s="177"/>
      <c r="FZ15" s="177"/>
      <c r="GA15" s="177"/>
      <c r="GB15" s="177"/>
      <c r="GC15" s="177"/>
      <c r="GD15" s="177"/>
      <c r="GE15" s="177"/>
      <c r="GF15" s="177"/>
      <c r="GG15" s="177"/>
      <c r="GH15" s="177"/>
      <c r="GI15" s="177"/>
      <c r="GJ15" s="177"/>
      <c r="GK15" s="177"/>
      <c r="GL15" s="177"/>
      <c r="GM15" s="177"/>
      <c r="GN15" s="177"/>
      <c r="GO15" s="177"/>
      <c r="GP15" s="177"/>
      <c r="GQ15" s="177"/>
      <c r="GR15" s="177"/>
      <c r="GS15" s="177"/>
      <c r="GT15" s="177"/>
      <c r="GU15" s="177"/>
      <c r="GV15" s="177"/>
      <c r="GW15" s="177"/>
      <c r="GX15" s="177"/>
      <c r="GY15" s="177"/>
      <c r="GZ15" s="177"/>
      <c r="HA15" s="177"/>
      <c r="HB15" s="177"/>
      <c r="HC15" s="177"/>
      <c r="HD15" s="177"/>
      <c r="HE15" s="177"/>
      <c r="HF15" s="177"/>
      <c r="HG15" s="177"/>
      <c r="HH15" s="177"/>
      <c r="HI15" s="177"/>
      <c r="HJ15" s="177"/>
      <c r="HK15" s="177"/>
      <c r="HL15" s="177"/>
      <c r="HM15" s="177"/>
      <c r="HN15" s="177"/>
      <c r="HO15" s="177"/>
      <c r="HP15" s="177"/>
      <c r="HQ15" s="177"/>
      <c r="HR15" s="177"/>
      <c r="HS15" s="177"/>
      <c r="HT15" s="177"/>
      <c r="HU15" s="177"/>
      <c r="HV15" s="177"/>
      <c r="HW15" s="177"/>
      <c r="HX15" s="177"/>
      <c r="HY15" s="177"/>
      <c r="HZ15" s="177"/>
      <c r="IA15" s="177"/>
      <c r="IB15" s="177"/>
      <c r="IC15" s="177"/>
      <c r="ID15" s="177"/>
      <c r="IE15" s="177"/>
      <c r="IF15" s="177"/>
      <c r="IG15" s="177"/>
      <c r="IH15" s="177"/>
      <c r="II15" s="177"/>
      <c r="IJ15" s="177"/>
      <c r="IK15" s="177"/>
      <c r="IL15" s="177"/>
      <c r="IM15" s="177"/>
      <c r="IN15" s="177"/>
      <c r="IO15" s="177"/>
      <c r="IP15" s="177"/>
      <c r="IQ15" s="177"/>
      <c r="IR15" s="177"/>
      <c r="IS15" s="177"/>
      <c r="IT15" s="177"/>
      <c r="IU15" s="177"/>
      <c r="IV15" s="177"/>
      <c r="IW15" s="177"/>
      <c r="IX15" s="177"/>
      <c r="IY15" s="177"/>
      <c r="IZ15" s="177"/>
      <c r="JA15" s="177"/>
      <c r="JB15" s="177"/>
      <c r="JC15" s="177"/>
      <c r="JD15" s="177"/>
      <c r="JE15" s="177"/>
      <c r="JF15" s="177"/>
      <c r="JG15" s="177"/>
      <c r="JH15" s="177"/>
      <c r="JI15" s="177"/>
      <c r="JJ15" s="177"/>
      <c r="JK15" s="177"/>
      <c r="JL15" s="177"/>
      <c r="JM15" s="177"/>
      <c r="JN15" s="177"/>
      <c r="JO15" s="177"/>
      <c r="JP15" s="177"/>
      <c r="JQ15" s="177"/>
      <c r="JR15" s="177"/>
    </row>
    <row r="16" s="178" customFormat="true" ht="21" hidden="false" customHeight="true" outlineLevel="0" collapsed="false">
      <c r="A16" s="144" t="s">
        <v>909</v>
      </c>
      <c r="B16" s="145" t="s">
        <v>1112</v>
      </c>
      <c r="C16" s="144" t="s">
        <v>1113</v>
      </c>
      <c r="D16" s="144" t="s">
        <v>1114</v>
      </c>
      <c r="E16" s="146"/>
      <c r="F16" s="146"/>
      <c r="G16" s="146"/>
      <c r="H16" s="146"/>
      <c r="I16" s="144" t="s">
        <v>1111</v>
      </c>
      <c r="J16" s="179"/>
      <c r="K16" s="179"/>
      <c r="L16" s="179"/>
      <c r="M16" s="179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  <c r="GK16" s="177"/>
      <c r="GL16" s="177"/>
      <c r="GM16" s="177"/>
      <c r="GN16" s="177"/>
      <c r="GO16" s="177"/>
      <c r="GP16" s="177"/>
      <c r="GQ16" s="177"/>
      <c r="GR16" s="177"/>
      <c r="GS16" s="177"/>
      <c r="GT16" s="177"/>
      <c r="GU16" s="177"/>
      <c r="GV16" s="177"/>
      <c r="GW16" s="177"/>
      <c r="GX16" s="177"/>
      <c r="GY16" s="177"/>
      <c r="GZ16" s="177"/>
      <c r="HA16" s="177"/>
      <c r="HB16" s="177"/>
      <c r="HC16" s="177"/>
      <c r="HD16" s="177"/>
      <c r="HE16" s="177"/>
      <c r="HF16" s="177"/>
      <c r="HG16" s="177"/>
      <c r="HH16" s="177"/>
      <c r="HI16" s="177"/>
      <c r="HJ16" s="177"/>
      <c r="HK16" s="177"/>
      <c r="HL16" s="177"/>
      <c r="HM16" s="177"/>
      <c r="HN16" s="177"/>
      <c r="HO16" s="177"/>
      <c r="HP16" s="177"/>
      <c r="HQ16" s="177"/>
      <c r="HR16" s="177"/>
      <c r="HS16" s="177"/>
      <c r="HT16" s="177"/>
      <c r="HU16" s="177"/>
      <c r="HV16" s="177"/>
      <c r="HW16" s="177"/>
      <c r="HX16" s="177"/>
      <c r="HY16" s="177"/>
      <c r="HZ16" s="177"/>
      <c r="IA16" s="177"/>
      <c r="IB16" s="177"/>
      <c r="IC16" s="177"/>
      <c r="ID16" s="177"/>
      <c r="IE16" s="177"/>
      <c r="IF16" s="177"/>
      <c r="IG16" s="177"/>
      <c r="IH16" s="177"/>
      <c r="II16" s="177"/>
      <c r="IJ16" s="177"/>
      <c r="IK16" s="177"/>
      <c r="IL16" s="177"/>
      <c r="IM16" s="177"/>
      <c r="IN16" s="177"/>
      <c r="IO16" s="177"/>
      <c r="IP16" s="177"/>
      <c r="IQ16" s="177"/>
      <c r="IR16" s="177"/>
      <c r="IS16" s="177"/>
      <c r="IT16" s="177"/>
      <c r="IU16" s="177"/>
      <c r="IV16" s="177"/>
      <c r="IW16" s="177"/>
      <c r="IX16" s="177"/>
      <c r="IY16" s="177"/>
      <c r="IZ16" s="177"/>
      <c r="JA16" s="177"/>
      <c r="JB16" s="177"/>
      <c r="JC16" s="177"/>
      <c r="JD16" s="177"/>
      <c r="JE16" s="177"/>
      <c r="JF16" s="177"/>
      <c r="JG16" s="177"/>
      <c r="JH16" s="177"/>
      <c r="JI16" s="177"/>
      <c r="JJ16" s="177"/>
      <c r="JK16" s="177"/>
      <c r="JL16" s="177"/>
      <c r="JM16" s="177"/>
      <c r="JN16" s="177"/>
      <c r="JO16" s="177"/>
      <c r="JP16" s="177"/>
      <c r="JQ16" s="177"/>
      <c r="JR16" s="177"/>
    </row>
    <row r="17" s="178" customFormat="true" ht="21" hidden="false" customHeight="true" outlineLevel="0" collapsed="false">
      <c r="A17" s="139" t="s">
        <v>1115</v>
      </c>
      <c r="B17" s="140" t="s">
        <v>1116</v>
      </c>
      <c r="C17" s="139" t="s">
        <v>1117</v>
      </c>
      <c r="D17" s="139" t="s">
        <v>1118</v>
      </c>
      <c r="E17" s="141"/>
      <c r="F17" s="141"/>
      <c r="G17" s="141"/>
      <c r="H17" s="141"/>
      <c r="I17" s="141"/>
      <c r="J17" s="176"/>
      <c r="K17" s="176"/>
      <c r="L17" s="176"/>
      <c r="M17" s="176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7"/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7"/>
      <c r="DQ17" s="177"/>
      <c r="DR17" s="177"/>
      <c r="DS17" s="177"/>
      <c r="DT17" s="177"/>
      <c r="DU17" s="177"/>
      <c r="DV17" s="177"/>
      <c r="DW17" s="177"/>
      <c r="DX17" s="177"/>
      <c r="DY17" s="177"/>
      <c r="DZ17" s="177"/>
      <c r="EA17" s="177"/>
      <c r="EB17" s="177"/>
      <c r="EC17" s="177"/>
      <c r="ED17" s="177"/>
      <c r="EE17" s="177"/>
      <c r="EF17" s="177"/>
      <c r="EG17" s="177"/>
      <c r="EH17" s="177"/>
      <c r="EI17" s="177"/>
      <c r="EJ17" s="177"/>
      <c r="EK17" s="177"/>
      <c r="EL17" s="177"/>
      <c r="EM17" s="177"/>
      <c r="EN17" s="177"/>
      <c r="EO17" s="177"/>
      <c r="EP17" s="177"/>
      <c r="EQ17" s="177"/>
      <c r="ER17" s="177"/>
      <c r="ES17" s="177"/>
      <c r="ET17" s="177"/>
      <c r="EU17" s="177"/>
      <c r="EV17" s="177"/>
      <c r="EW17" s="177"/>
      <c r="EX17" s="177"/>
      <c r="EY17" s="177"/>
      <c r="EZ17" s="177"/>
      <c r="FA17" s="177"/>
      <c r="FB17" s="177"/>
      <c r="FC17" s="177"/>
      <c r="FD17" s="177"/>
      <c r="FE17" s="177"/>
      <c r="FF17" s="177"/>
      <c r="FG17" s="177"/>
      <c r="FH17" s="177"/>
      <c r="FI17" s="177"/>
      <c r="FJ17" s="177"/>
      <c r="FK17" s="177"/>
      <c r="FL17" s="177"/>
      <c r="FM17" s="177"/>
      <c r="FN17" s="177"/>
      <c r="FO17" s="177"/>
      <c r="FP17" s="177"/>
      <c r="FQ17" s="177"/>
      <c r="FR17" s="177"/>
      <c r="FS17" s="177"/>
      <c r="FT17" s="177"/>
      <c r="FU17" s="177"/>
      <c r="FV17" s="177"/>
      <c r="FW17" s="177"/>
      <c r="FX17" s="177"/>
      <c r="FY17" s="177"/>
      <c r="FZ17" s="177"/>
      <c r="GA17" s="177"/>
      <c r="GB17" s="177"/>
      <c r="GC17" s="177"/>
      <c r="GD17" s="177"/>
      <c r="GE17" s="177"/>
      <c r="GF17" s="177"/>
      <c r="GG17" s="177"/>
      <c r="GH17" s="177"/>
      <c r="GI17" s="177"/>
      <c r="GJ17" s="177"/>
      <c r="GK17" s="177"/>
      <c r="GL17" s="177"/>
      <c r="GM17" s="177"/>
      <c r="GN17" s="177"/>
      <c r="GO17" s="177"/>
      <c r="GP17" s="177"/>
      <c r="GQ17" s="177"/>
      <c r="GR17" s="177"/>
      <c r="GS17" s="177"/>
      <c r="GT17" s="177"/>
      <c r="GU17" s="177"/>
      <c r="GV17" s="177"/>
      <c r="GW17" s="177"/>
      <c r="GX17" s="177"/>
      <c r="GY17" s="177"/>
      <c r="GZ17" s="177"/>
      <c r="HA17" s="177"/>
      <c r="HB17" s="177"/>
      <c r="HC17" s="177"/>
      <c r="HD17" s="177"/>
      <c r="HE17" s="177"/>
      <c r="HF17" s="177"/>
      <c r="HG17" s="177"/>
      <c r="HH17" s="177"/>
      <c r="HI17" s="177"/>
      <c r="HJ17" s="177"/>
      <c r="HK17" s="177"/>
      <c r="HL17" s="177"/>
      <c r="HM17" s="177"/>
      <c r="HN17" s="177"/>
      <c r="HO17" s="177"/>
      <c r="HP17" s="177"/>
      <c r="HQ17" s="177"/>
      <c r="HR17" s="177"/>
      <c r="HS17" s="177"/>
      <c r="HT17" s="177"/>
      <c r="HU17" s="177"/>
      <c r="HV17" s="177"/>
      <c r="HW17" s="177"/>
      <c r="HX17" s="177"/>
      <c r="HY17" s="177"/>
      <c r="HZ17" s="177"/>
      <c r="IA17" s="177"/>
      <c r="IB17" s="177"/>
      <c r="IC17" s="177"/>
      <c r="ID17" s="177"/>
      <c r="IE17" s="177"/>
      <c r="IF17" s="177"/>
      <c r="IG17" s="177"/>
      <c r="IH17" s="177"/>
      <c r="II17" s="177"/>
      <c r="IJ17" s="177"/>
      <c r="IK17" s="177"/>
      <c r="IL17" s="177"/>
      <c r="IM17" s="177"/>
      <c r="IN17" s="177"/>
      <c r="IO17" s="177"/>
      <c r="IP17" s="177"/>
      <c r="IQ17" s="177"/>
      <c r="IR17" s="177"/>
      <c r="IS17" s="177"/>
      <c r="IT17" s="177"/>
      <c r="IU17" s="177"/>
      <c r="IV17" s="177"/>
      <c r="IW17" s="177"/>
      <c r="IX17" s="177"/>
      <c r="IY17" s="177"/>
      <c r="IZ17" s="177"/>
      <c r="JA17" s="177"/>
      <c r="JB17" s="177"/>
      <c r="JC17" s="177"/>
      <c r="JD17" s="177"/>
      <c r="JE17" s="177"/>
      <c r="JF17" s="177"/>
      <c r="JG17" s="177"/>
      <c r="JH17" s="177"/>
      <c r="JI17" s="177"/>
      <c r="JJ17" s="177"/>
      <c r="JK17" s="177"/>
      <c r="JL17" s="177"/>
      <c r="JM17" s="177"/>
      <c r="JN17" s="177"/>
      <c r="JO17" s="177"/>
      <c r="JP17" s="177"/>
      <c r="JQ17" s="177"/>
      <c r="JR17" s="177"/>
    </row>
    <row r="18" s="178" customFormat="true" ht="21" hidden="false" customHeight="true" outlineLevel="0" collapsed="false">
      <c r="A18" s="144" t="s">
        <v>909</v>
      </c>
      <c r="B18" s="145" t="s">
        <v>1119</v>
      </c>
      <c r="C18" s="144" t="s">
        <v>1120</v>
      </c>
      <c r="D18" s="144" t="s">
        <v>1121</v>
      </c>
      <c r="E18" s="146"/>
      <c r="F18" s="146"/>
      <c r="G18" s="146"/>
      <c r="H18" s="146"/>
      <c r="I18" s="146"/>
      <c r="J18" s="179"/>
      <c r="K18" s="179"/>
      <c r="L18" s="179"/>
      <c r="M18" s="179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177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7"/>
      <c r="CV18" s="177"/>
      <c r="CW18" s="177"/>
      <c r="CX18" s="177"/>
      <c r="CY18" s="177"/>
      <c r="CZ18" s="177"/>
      <c r="DA18" s="177"/>
      <c r="DB18" s="177"/>
      <c r="DC18" s="177"/>
      <c r="DD18" s="177"/>
      <c r="DE18" s="177"/>
      <c r="DF18" s="177"/>
      <c r="DG18" s="177"/>
      <c r="DH18" s="177"/>
      <c r="DI18" s="177"/>
      <c r="DJ18" s="177"/>
      <c r="DK18" s="177"/>
      <c r="DL18" s="177"/>
      <c r="DM18" s="177"/>
      <c r="DN18" s="177"/>
      <c r="DO18" s="177"/>
      <c r="DP18" s="177"/>
      <c r="DQ18" s="177"/>
      <c r="DR18" s="177"/>
      <c r="DS18" s="177"/>
      <c r="DT18" s="177"/>
      <c r="DU18" s="177"/>
      <c r="DV18" s="177"/>
      <c r="DW18" s="177"/>
      <c r="DX18" s="177"/>
      <c r="DY18" s="177"/>
      <c r="DZ18" s="177"/>
      <c r="EA18" s="177"/>
      <c r="EB18" s="177"/>
      <c r="EC18" s="177"/>
      <c r="ED18" s="177"/>
      <c r="EE18" s="177"/>
      <c r="EF18" s="177"/>
      <c r="EG18" s="177"/>
      <c r="EH18" s="177"/>
      <c r="EI18" s="177"/>
      <c r="EJ18" s="177"/>
      <c r="EK18" s="177"/>
      <c r="EL18" s="177"/>
      <c r="EM18" s="177"/>
      <c r="EN18" s="177"/>
      <c r="EO18" s="177"/>
      <c r="EP18" s="177"/>
      <c r="EQ18" s="177"/>
      <c r="ER18" s="177"/>
      <c r="ES18" s="177"/>
      <c r="ET18" s="177"/>
      <c r="EU18" s="177"/>
      <c r="EV18" s="177"/>
      <c r="EW18" s="177"/>
      <c r="EX18" s="177"/>
      <c r="EY18" s="177"/>
      <c r="EZ18" s="177"/>
      <c r="FA18" s="177"/>
      <c r="FB18" s="177"/>
      <c r="FC18" s="177"/>
      <c r="FD18" s="177"/>
      <c r="FE18" s="177"/>
      <c r="FF18" s="177"/>
      <c r="FG18" s="177"/>
      <c r="FH18" s="177"/>
      <c r="FI18" s="177"/>
      <c r="FJ18" s="177"/>
      <c r="FK18" s="177"/>
      <c r="FL18" s="177"/>
      <c r="FM18" s="177"/>
      <c r="FN18" s="177"/>
      <c r="FO18" s="177"/>
      <c r="FP18" s="177"/>
      <c r="FQ18" s="177"/>
      <c r="FR18" s="177"/>
      <c r="FS18" s="177"/>
      <c r="FT18" s="177"/>
      <c r="FU18" s="177"/>
      <c r="FV18" s="177"/>
      <c r="FW18" s="177"/>
      <c r="FX18" s="177"/>
      <c r="FY18" s="177"/>
      <c r="FZ18" s="177"/>
      <c r="GA18" s="177"/>
      <c r="GB18" s="177"/>
      <c r="GC18" s="177"/>
      <c r="GD18" s="177"/>
      <c r="GE18" s="177"/>
      <c r="GF18" s="177"/>
      <c r="GG18" s="177"/>
      <c r="GH18" s="177"/>
      <c r="GI18" s="177"/>
      <c r="GJ18" s="177"/>
      <c r="GK18" s="177"/>
      <c r="GL18" s="177"/>
      <c r="GM18" s="177"/>
      <c r="GN18" s="177"/>
      <c r="GO18" s="177"/>
      <c r="GP18" s="177"/>
      <c r="GQ18" s="177"/>
      <c r="GR18" s="177"/>
      <c r="GS18" s="177"/>
      <c r="GT18" s="177"/>
      <c r="GU18" s="177"/>
      <c r="GV18" s="177"/>
      <c r="GW18" s="177"/>
      <c r="GX18" s="177"/>
      <c r="GY18" s="177"/>
      <c r="GZ18" s="177"/>
      <c r="HA18" s="177"/>
      <c r="HB18" s="177"/>
      <c r="HC18" s="177"/>
      <c r="HD18" s="177"/>
      <c r="HE18" s="177"/>
      <c r="HF18" s="177"/>
      <c r="HG18" s="177"/>
      <c r="HH18" s="177"/>
      <c r="HI18" s="177"/>
      <c r="HJ18" s="177"/>
      <c r="HK18" s="177"/>
      <c r="HL18" s="177"/>
      <c r="HM18" s="177"/>
      <c r="HN18" s="177"/>
      <c r="HO18" s="177"/>
      <c r="HP18" s="177"/>
      <c r="HQ18" s="177"/>
      <c r="HR18" s="177"/>
      <c r="HS18" s="177"/>
      <c r="HT18" s="177"/>
      <c r="HU18" s="177"/>
      <c r="HV18" s="177"/>
      <c r="HW18" s="177"/>
      <c r="HX18" s="177"/>
      <c r="HY18" s="177"/>
      <c r="HZ18" s="177"/>
      <c r="IA18" s="177"/>
      <c r="IB18" s="177"/>
      <c r="IC18" s="177"/>
      <c r="ID18" s="177"/>
      <c r="IE18" s="177"/>
      <c r="IF18" s="177"/>
      <c r="IG18" s="177"/>
      <c r="IH18" s="177"/>
      <c r="II18" s="177"/>
      <c r="IJ18" s="177"/>
      <c r="IK18" s="177"/>
      <c r="IL18" s="177"/>
      <c r="IM18" s="177"/>
      <c r="IN18" s="177"/>
      <c r="IO18" s="177"/>
      <c r="IP18" s="177"/>
      <c r="IQ18" s="177"/>
      <c r="IR18" s="177"/>
      <c r="IS18" s="177"/>
      <c r="IT18" s="177"/>
      <c r="IU18" s="177"/>
      <c r="IV18" s="177"/>
      <c r="IW18" s="177"/>
      <c r="IX18" s="177"/>
      <c r="IY18" s="177"/>
      <c r="IZ18" s="177"/>
      <c r="JA18" s="177"/>
      <c r="JB18" s="177"/>
      <c r="JC18" s="177"/>
      <c r="JD18" s="177"/>
      <c r="JE18" s="177"/>
      <c r="JF18" s="177"/>
      <c r="JG18" s="177"/>
      <c r="JH18" s="177"/>
      <c r="JI18" s="177"/>
      <c r="JJ18" s="177"/>
      <c r="JK18" s="177"/>
      <c r="JL18" s="177"/>
      <c r="JM18" s="177"/>
      <c r="JN18" s="177"/>
      <c r="JO18" s="177"/>
      <c r="JP18" s="177"/>
      <c r="JQ18" s="177"/>
      <c r="JR18" s="177"/>
    </row>
    <row r="19" s="178" customFormat="true" ht="21" hidden="false" customHeight="true" outlineLevel="0" collapsed="false">
      <c r="A19" s="139" t="s">
        <v>909</v>
      </c>
      <c r="B19" s="140" t="s">
        <v>1122</v>
      </c>
      <c r="C19" s="139" t="s">
        <v>1123</v>
      </c>
      <c r="D19" s="139" t="s">
        <v>1124</v>
      </c>
      <c r="E19" s="141"/>
      <c r="F19" s="141"/>
      <c r="G19" s="141"/>
      <c r="H19" s="141"/>
      <c r="I19" s="141"/>
      <c r="J19" s="176"/>
      <c r="K19" s="176"/>
      <c r="L19" s="176"/>
      <c r="M19" s="176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77"/>
      <c r="DL19" s="177"/>
      <c r="DM19" s="177"/>
      <c r="DN19" s="177"/>
      <c r="DO19" s="177"/>
      <c r="DP19" s="177"/>
      <c r="DQ19" s="177"/>
      <c r="DR19" s="177"/>
      <c r="DS19" s="177"/>
      <c r="DT19" s="177"/>
      <c r="DU19" s="177"/>
      <c r="DV19" s="177"/>
      <c r="DW19" s="177"/>
      <c r="DX19" s="177"/>
      <c r="DY19" s="177"/>
      <c r="DZ19" s="177"/>
      <c r="EA19" s="177"/>
      <c r="EB19" s="177"/>
      <c r="EC19" s="177"/>
      <c r="ED19" s="177"/>
      <c r="EE19" s="177"/>
      <c r="EF19" s="177"/>
      <c r="EG19" s="177"/>
      <c r="EH19" s="177"/>
      <c r="EI19" s="177"/>
      <c r="EJ19" s="177"/>
      <c r="EK19" s="177"/>
      <c r="EL19" s="177"/>
      <c r="EM19" s="177"/>
      <c r="EN19" s="177"/>
      <c r="EO19" s="177"/>
      <c r="EP19" s="177"/>
      <c r="EQ19" s="177"/>
      <c r="ER19" s="177"/>
      <c r="ES19" s="177"/>
      <c r="ET19" s="177"/>
      <c r="EU19" s="177"/>
      <c r="EV19" s="177"/>
      <c r="EW19" s="177"/>
      <c r="EX19" s="177"/>
      <c r="EY19" s="177"/>
      <c r="EZ19" s="177"/>
      <c r="FA19" s="177"/>
      <c r="FB19" s="177"/>
      <c r="FC19" s="177"/>
      <c r="FD19" s="177"/>
      <c r="FE19" s="177"/>
      <c r="FF19" s="177"/>
      <c r="FG19" s="177"/>
      <c r="FH19" s="177"/>
      <c r="FI19" s="177"/>
      <c r="FJ19" s="177"/>
      <c r="FK19" s="177"/>
      <c r="FL19" s="177"/>
      <c r="FM19" s="177"/>
      <c r="FN19" s="177"/>
      <c r="FO19" s="177"/>
      <c r="FP19" s="177"/>
      <c r="FQ19" s="177"/>
      <c r="FR19" s="177"/>
      <c r="FS19" s="177"/>
      <c r="FT19" s="177"/>
      <c r="FU19" s="177"/>
      <c r="FV19" s="177"/>
      <c r="FW19" s="177"/>
      <c r="FX19" s="177"/>
      <c r="FY19" s="177"/>
      <c r="FZ19" s="177"/>
      <c r="GA19" s="177"/>
      <c r="GB19" s="177"/>
      <c r="GC19" s="177"/>
      <c r="GD19" s="177"/>
      <c r="GE19" s="177"/>
      <c r="GF19" s="177"/>
      <c r="GG19" s="177"/>
      <c r="GH19" s="177"/>
      <c r="GI19" s="177"/>
      <c r="GJ19" s="177"/>
      <c r="GK19" s="177"/>
      <c r="GL19" s="177"/>
      <c r="GM19" s="177"/>
      <c r="GN19" s="177"/>
      <c r="GO19" s="177"/>
      <c r="GP19" s="177"/>
      <c r="GQ19" s="177"/>
      <c r="GR19" s="177"/>
      <c r="GS19" s="177"/>
      <c r="GT19" s="177"/>
      <c r="GU19" s="177"/>
      <c r="GV19" s="177"/>
      <c r="GW19" s="177"/>
      <c r="GX19" s="177"/>
      <c r="GY19" s="177"/>
      <c r="GZ19" s="177"/>
      <c r="HA19" s="177"/>
      <c r="HB19" s="177"/>
      <c r="HC19" s="177"/>
      <c r="HD19" s="177"/>
      <c r="HE19" s="177"/>
      <c r="HF19" s="177"/>
      <c r="HG19" s="177"/>
      <c r="HH19" s="177"/>
      <c r="HI19" s="177"/>
      <c r="HJ19" s="177"/>
      <c r="HK19" s="177"/>
      <c r="HL19" s="177"/>
      <c r="HM19" s="177"/>
      <c r="HN19" s="177"/>
      <c r="HO19" s="177"/>
      <c r="HP19" s="177"/>
      <c r="HQ19" s="177"/>
      <c r="HR19" s="177"/>
      <c r="HS19" s="177"/>
      <c r="HT19" s="177"/>
      <c r="HU19" s="177"/>
      <c r="HV19" s="177"/>
      <c r="HW19" s="177"/>
      <c r="HX19" s="177"/>
      <c r="HY19" s="177"/>
      <c r="HZ19" s="177"/>
      <c r="IA19" s="177"/>
      <c r="IB19" s="177"/>
      <c r="IC19" s="177"/>
      <c r="ID19" s="177"/>
      <c r="IE19" s="177"/>
      <c r="IF19" s="177"/>
      <c r="IG19" s="177"/>
      <c r="IH19" s="177"/>
      <c r="II19" s="177"/>
      <c r="IJ19" s="177"/>
      <c r="IK19" s="177"/>
      <c r="IL19" s="177"/>
      <c r="IM19" s="177"/>
      <c r="IN19" s="177"/>
      <c r="IO19" s="177"/>
      <c r="IP19" s="177"/>
      <c r="IQ19" s="177"/>
      <c r="IR19" s="177"/>
      <c r="IS19" s="177"/>
      <c r="IT19" s="177"/>
      <c r="IU19" s="177"/>
      <c r="IV19" s="177"/>
      <c r="IW19" s="177"/>
      <c r="IX19" s="177"/>
      <c r="IY19" s="177"/>
      <c r="IZ19" s="177"/>
      <c r="JA19" s="177"/>
      <c r="JB19" s="177"/>
      <c r="JC19" s="177"/>
      <c r="JD19" s="177"/>
      <c r="JE19" s="177"/>
      <c r="JF19" s="177"/>
      <c r="JG19" s="177"/>
      <c r="JH19" s="177"/>
      <c r="JI19" s="177"/>
      <c r="JJ19" s="177"/>
      <c r="JK19" s="177"/>
      <c r="JL19" s="177"/>
      <c r="JM19" s="177"/>
      <c r="JN19" s="177"/>
      <c r="JO19" s="177"/>
      <c r="JP19" s="177"/>
      <c r="JQ19" s="177"/>
      <c r="JR19" s="177"/>
    </row>
    <row r="20" s="178" customFormat="true" ht="21" hidden="false" customHeight="true" outlineLevel="0" collapsed="false">
      <c r="A20" s="144" t="s">
        <v>909</v>
      </c>
      <c r="B20" s="145" t="s">
        <v>1125</v>
      </c>
      <c r="C20" s="144" t="s">
        <v>1126</v>
      </c>
      <c r="D20" s="144" t="s">
        <v>1127</v>
      </c>
      <c r="E20" s="146"/>
      <c r="F20" s="146"/>
      <c r="G20" s="146"/>
      <c r="H20" s="146"/>
      <c r="I20" s="146"/>
      <c r="J20" s="179"/>
      <c r="K20" s="179"/>
      <c r="L20" s="179"/>
      <c r="M20" s="179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  <c r="DK20" s="177"/>
      <c r="DL20" s="177"/>
      <c r="DM20" s="177"/>
      <c r="DN20" s="177"/>
      <c r="DO20" s="177"/>
      <c r="DP20" s="177"/>
      <c r="DQ20" s="177"/>
      <c r="DR20" s="177"/>
      <c r="DS20" s="177"/>
      <c r="DT20" s="177"/>
      <c r="DU20" s="177"/>
      <c r="DV20" s="177"/>
      <c r="DW20" s="177"/>
      <c r="DX20" s="177"/>
      <c r="DY20" s="177"/>
      <c r="DZ20" s="177"/>
      <c r="EA20" s="177"/>
      <c r="EB20" s="177"/>
      <c r="EC20" s="177"/>
      <c r="ED20" s="177"/>
      <c r="EE20" s="177"/>
      <c r="EF20" s="177"/>
      <c r="EG20" s="177"/>
      <c r="EH20" s="177"/>
      <c r="EI20" s="177"/>
      <c r="EJ20" s="177"/>
      <c r="EK20" s="177"/>
      <c r="EL20" s="177"/>
      <c r="EM20" s="177"/>
      <c r="EN20" s="177"/>
      <c r="EO20" s="177"/>
      <c r="EP20" s="177"/>
      <c r="EQ20" s="177"/>
      <c r="ER20" s="177"/>
      <c r="ES20" s="177"/>
      <c r="ET20" s="177"/>
      <c r="EU20" s="177"/>
      <c r="EV20" s="177"/>
      <c r="EW20" s="177"/>
      <c r="EX20" s="177"/>
      <c r="EY20" s="177"/>
      <c r="EZ20" s="177"/>
      <c r="FA20" s="177"/>
      <c r="FB20" s="177"/>
      <c r="FC20" s="177"/>
      <c r="FD20" s="177"/>
      <c r="FE20" s="177"/>
      <c r="FF20" s="177"/>
      <c r="FG20" s="177"/>
      <c r="FH20" s="177"/>
      <c r="FI20" s="177"/>
      <c r="FJ20" s="177"/>
      <c r="FK20" s="177"/>
      <c r="FL20" s="177"/>
      <c r="FM20" s="177"/>
      <c r="FN20" s="177"/>
      <c r="FO20" s="177"/>
      <c r="FP20" s="177"/>
      <c r="FQ20" s="177"/>
      <c r="FR20" s="177"/>
      <c r="FS20" s="177"/>
      <c r="FT20" s="177"/>
      <c r="FU20" s="177"/>
      <c r="FV20" s="177"/>
      <c r="FW20" s="177"/>
      <c r="FX20" s="177"/>
      <c r="FY20" s="177"/>
      <c r="FZ20" s="177"/>
      <c r="GA20" s="177"/>
      <c r="GB20" s="177"/>
      <c r="GC20" s="177"/>
      <c r="GD20" s="177"/>
      <c r="GE20" s="177"/>
      <c r="GF20" s="177"/>
      <c r="GG20" s="177"/>
      <c r="GH20" s="177"/>
      <c r="GI20" s="177"/>
      <c r="GJ20" s="177"/>
      <c r="GK20" s="177"/>
      <c r="GL20" s="177"/>
      <c r="GM20" s="177"/>
      <c r="GN20" s="177"/>
      <c r="GO20" s="177"/>
      <c r="GP20" s="177"/>
      <c r="GQ20" s="177"/>
      <c r="GR20" s="177"/>
      <c r="GS20" s="177"/>
      <c r="GT20" s="177"/>
      <c r="GU20" s="177"/>
      <c r="GV20" s="177"/>
      <c r="GW20" s="177"/>
      <c r="GX20" s="177"/>
      <c r="GY20" s="177"/>
      <c r="GZ20" s="177"/>
      <c r="HA20" s="177"/>
      <c r="HB20" s="177"/>
      <c r="HC20" s="177"/>
      <c r="HD20" s="177"/>
      <c r="HE20" s="177"/>
      <c r="HF20" s="177"/>
      <c r="HG20" s="177"/>
      <c r="HH20" s="177"/>
      <c r="HI20" s="177"/>
      <c r="HJ20" s="177"/>
      <c r="HK20" s="177"/>
      <c r="HL20" s="177"/>
      <c r="HM20" s="177"/>
      <c r="HN20" s="177"/>
      <c r="HO20" s="177"/>
      <c r="HP20" s="177"/>
      <c r="HQ20" s="177"/>
      <c r="HR20" s="177"/>
      <c r="HS20" s="177"/>
      <c r="HT20" s="177"/>
      <c r="HU20" s="177"/>
      <c r="HV20" s="177"/>
      <c r="HW20" s="177"/>
      <c r="HX20" s="177"/>
      <c r="HY20" s="177"/>
      <c r="HZ20" s="177"/>
      <c r="IA20" s="177"/>
      <c r="IB20" s="177"/>
      <c r="IC20" s="177"/>
      <c r="ID20" s="177"/>
      <c r="IE20" s="177"/>
      <c r="IF20" s="177"/>
      <c r="IG20" s="177"/>
      <c r="IH20" s="177"/>
      <c r="II20" s="177"/>
      <c r="IJ20" s="177"/>
      <c r="IK20" s="177"/>
      <c r="IL20" s="177"/>
      <c r="IM20" s="177"/>
      <c r="IN20" s="177"/>
      <c r="IO20" s="177"/>
      <c r="IP20" s="177"/>
      <c r="IQ20" s="177"/>
      <c r="IR20" s="177"/>
      <c r="IS20" s="177"/>
      <c r="IT20" s="177"/>
      <c r="IU20" s="177"/>
      <c r="IV20" s="177"/>
      <c r="IW20" s="177"/>
      <c r="IX20" s="177"/>
      <c r="IY20" s="177"/>
      <c r="IZ20" s="177"/>
      <c r="JA20" s="177"/>
      <c r="JB20" s="177"/>
      <c r="JC20" s="177"/>
      <c r="JD20" s="177"/>
      <c r="JE20" s="177"/>
      <c r="JF20" s="177"/>
      <c r="JG20" s="177"/>
      <c r="JH20" s="177"/>
      <c r="JI20" s="177"/>
      <c r="JJ20" s="177"/>
      <c r="JK20" s="177"/>
      <c r="JL20" s="177"/>
      <c r="JM20" s="177"/>
      <c r="JN20" s="177"/>
      <c r="JO20" s="177"/>
      <c r="JP20" s="177"/>
      <c r="JQ20" s="177"/>
      <c r="JR20" s="177"/>
    </row>
    <row r="21" s="178" customFormat="true" ht="21" hidden="false" customHeight="true" outlineLevel="0" collapsed="false">
      <c r="A21" s="139" t="s">
        <v>909</v>
      </c>
      <c r="B21" s="140" t="s">
        <v>1078</v>
      </c>
      <c r="C21" s="139" t="s">
        <v>1128</v>
      </c>
      <c r="D21" s="139" t="s">
        <v>1129</v>
      </c>
      <c r="E21" s="141"/>
      <c r="F21" s="141"/>
      <c r="G21" s="141"/>
      <c r="H21" s="141"/>
      <c r="I21" s="141"/>
      <c r="J21" s="176"/>
      <c r="K21" s="176"/>
      <c r="L21" s="176"/>
      <c r="M21" s="176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7"/>
      <c r="CN21" s="177"/>
      <c r="CO21" s="177"/>
      <c r="CP21" s="177"/>
      <c r="CQ21" s="177"/>
      <c r="CR21" s="177"/>
      <c r="CS21" s="177"/>
      <c r="CT21" s="177"/>
      <c r="CU21" s="177"/>
      <c r="CV21" s="177"/>
      <c r="CW21" s="177"/>
      <c r="CX21" s="177"/>
      <c r="CY21" s="177"/>
      <c r="CZ21" s="177"/>
      <c r="DA21" s="177"/>
      <c r="DB21" s="177"/>
      <c r="DC21" s="177"/>
      <c r="DD21" s="177"/>
      <c r="DE21" s="177"/>
      <c r="DF21" s="177"/>
      <c r="DG21" s="177"/>
      <c r="DH21" s="177"/>
      <c r="DI21" s="177"/>
      <c r="DJ21" s="177"/>
      <c r="DK21" s="177"/>
      <c r="DL21" s="177"/>
      <c r="DM21" s="177"/>
      <c r="DN21" s="177"/>
      <c r="DO21" s="177"/>
      <c r="DP21" s="177"/>
      <c r="DQ21" s="177"/>
      <c r="DR21" s="177"/>
      <c r="DS21" s="177"/>
      <c r="DT21" s="177"/>
      <c r="DU21" s="177"/>
      <c r="DV21" s="177"/>
      <c r="DW21" s="177"/>
      <c r="DX21" s="177"/>
      <c r="DY21" s="177"/>
      <c r="DZ21" s="177"/>
      <c r="EA21" s="177"/>
      <c r="EB21" s="177"/>
      <c r="EC21" s="177"/>
      <c r="ED21" s="177"/>
      <c r="EE21" s="177"/>
      <c r="EF21" s="177"/>
      <c r="EG21" s="177"/>
      <c r="EH21" s="177"/>
      <c r="EI21" s="177"/>
      <c r="EJ21" s="177"/>
      <c r="EK21" s="177"/>
      <c r="EL21" s="177"/>
      <c r="EM21" s="177"/>
      <c r="EN21" s="177"/>
      <c r="EO21" s="177"/>
      <c r="EP21" s="177"/>
      <c r="EQ21" s="177"/>
      <c r="ER21" s="177"/>
      <c r="ES21" s="177"/>
      <c r="ET21" s="177"/>
      <c r="EU21" s="177"/>
      <c r="EV21" s="177"/>
      <c r="EW21" s="177"/>
      <c r="EX21" s="177"/>
      <c r="EY21" s="177"/>
      <c r="EZ21" s="177"/>
      <c r="FA21" s="177"/>
      <c r="FB21" s="177"/>
      <c r="FC21" s="177"/>
      <c r="FD21" s="177"/>
      <c r="FE21" s="177"/>
      <c r="FF21" s="177"/>
      <c r="FG21" s="177"/>
      <c r="FH21" s="177"/>
      <c r="FI21" s="177"/>
      <c r="FJ21" s="177"/>
      <c r="FK21" s="177"/>
      <c r="FL21" s="177"/>
      <c r="FM21" s="177"/>
      <c r="FN21" s="177"/>
      <c r="FO21" s="177"/>
      <c r="FP21" s="177"/>
      <c r="FQ21" s="177"/>
      <c r="FR21" s="177"/>
      <c r="FS21" s="177"/>
      <c r="FT21" s="177"/>
      <c r="FU21" s="177"/>
      <c r="FV21" s="177"/>
      <c r="FW21" s="177"/>
      <c r="FX21" s="177"/>
      <c r="FY21" s="177"/>
      <c r="FZ21" s="177"/>
      <c r="GA21" s="177"/>
      <c r="GB21" s="177"/>
      <c r="GC21" s="177"/>
      <c r="GD21" s="177"/>
      <c r="GE21" s="177"/>
      <c r="GF21" s="177"/>
      <c r="GG21" s="177"/>
      <c r="GH21" s="177"/>
      <c r="GI21" s="177"/>
      <c r="GJ21" s="177"/>
      <c r="GK21" s="177"/>
      <c r="GL21" s="177"/>
      <c r="GM21" s="177"/>
      <c r="GN21" s="177"/>
      <c r="GO21" s="177"/>
      <c r="GP21" s="177"/>
      <c r="GQ21" s="177"/>
      <c r="GR21" s="177"/>
      <c r="GS21" s="177"/>
      <c r="GT21" s="177"/>
      <c r="GU21" s="177"/>
      <c r="GV21" s="177"/>
      <c r="GW21" s="177"/>
      <c r="GX21" s="177"/>
      <c r="GY21" s="177"/>
      <c r="GZ21" s="177"/>
      <c r="HA21" s="177"/>
      <c r="HB21" s="177"/>
      <c r="HC21" s="177"/>
      <c r="HD21" s="177"/>
      <c r="HE21" s="177"/>
      <c r="HF21" s="177"/>
      <c r="HG21" s="177"/>
      <c r="HH21" s="177"/>
      <c r="HI21" s="177"/>
      <c r="HJ21" s="177"/>
      <c r="HK21" s="177"/>
      <c r="HL21" s="177"/>
      <c r="HM21" s="177"/>
      <c r="HN21" s="177"/>
      <c r="HO21" s="177"/>
      <c r="HP21" s="177"/>
      <c r="HQ21" s="177"/>
      <c r="HR21" s="177"/>
      <c r="HS21" s="177"/>
      <c r="HT21" s="177"/>
      <c r="HU21" s="177"/>
      <c r="HV21" s="177"/>
      <c r="HW21" s="177"/>
      <c r="HX21" s="177"/>
      <c r="HY21" s="177"/>
      <c r="HZ21" s="177"/>
      <c r="IA21" s="177"/>
      <c r="IB21" s="177"/>
      <c r="IC21" s="177"/>
      <c r="ID21" s="177"/>
      <c r="IE21" s="177"/>
      <c r="IF21" s="177"/>
      <c r="IG21" s="177"/>
      <c r="IH21" s="177"/>
      <c r="II21" s="177"/>
      <c r="IJ21" s="177"/>
      <c r="IK21" s="177"/>
      <c r="IL21" s="177"/>
      <c r="IM21" s="177"/>
      <c r="IN21" s="177"/>
      <c r="IO21" s="177"/>
      <c r="IP21" s="177"/>
      <c r="IQ21" s="177"/>
      <c r="IR21" s="177"/>
      <c r="IS21" s="177"/>
      <c r="IT21" s="177"/>
      <c r="IU21" s="177"/>
      <c r="IV21" s="177"/>
      <c r="IW21" s="177"/>
      <c r="IX21" s="177"/>
      <c r="IY21" s="177"/>
      <c r="IZ21" s="177"/>
      <c r="JA21" s="177"/>
      <c r="JB21" s="177"/>
      <c r="JC21" s="177"/>
      <c r="JD21" s="177"/>
      <c r="JE21" s="177"/>
      <c r="JF21" s="177"/>
      <c r="JG21" s="177"/>
      <c r="JH21" s="177"/>
      <c r="JI21" s="177"/>
      <c r="JJ21" s="177"/>
      <c r="JK21" s="177"/>
      <c r="JL21" s="177"/>
      <c r="JM21" s="177"/>
      <c r="JN21" s="177"/>
      <c r="JO21" s="177"/>
      <c r="JP21" s="177"/>
      <c r="JQ21" s="177"/>
      <c r="JR21" s="177"/>
    </row>
    <row r="22" s="178" customFormat="true" ht="21" hidden="false" customHeight="true" outlineLevel="0" collapsed="false">
      <c r="A22" s="144" t="s">
        <v>949</v>
      </c>
      <c r="B22" s="145" t="s">
        <v>1130</v>
      </c>
      <c r="C22" s="144" t="s">
        <v>1131</v>
      </c>
      <c r="D22" s="144" t="s">
        <v>1132</v>
      </c>
      <c r="E22" s="146"/>
      <c r="F22" s="146"/>
      <c r="G22" s="146"/>
      <c r="H22" s="146"/>
      <c r="I22" s="146"/>
      <c r="J22" s="179"/>
      <c r="K22" s="179"/>
      <c r="L22" s="179"/>
      <c r="M22" s="179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7"/>
      <c r="BW22" s="177"/>
      <c r="BX22" s="177"/>
      <c r="BY22" s="177"/>
      <c r="BZ22" s="177"/>
      <c r="CA22" s="177"/>
      <c r="CB22" s="177"/>
      <c r="CC22" s="177"/>
      <c r="CD22" s="177"/>
      <c r="CE22" s="177"/>
      <c r="CF22" s="177"/>
      <c r="CG22" s="177"/>
      <c r="CH22" s="177"/>
      <c r="CI22" s="177"/>
      <c r="CJ22" s="177"/>
      <c r="CK22" s="177"/>
      <c r="CL22" s="177"/>
      <c r="CM22" s="177"/>
      <c r="CN22" s="177"/>
      <c r="CO22" s="177"/>
      <c r="CP22" s="177"/>
      <c r="CQ22" s="177"/>
      <c r="CR22" s="177"/>
      <c r="CS22" s="177"/>
      <c r="CT22" s="177"/>
      <c r="CU22" s="177"/>
      <c r="CV22" s="177"/>
      <c r="CW22" s="177"/>
      <c r="CX22" s="177"/>
      <c r="CY22" s="177"/>
      <c r="CZ22" s="177"/>
      <c r="DA22" s="177"/>
      <c r="DB22" s="177"/>
      <c r="DC22" s="177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7"/>
      <c r="DQ22" s="177"/>
      <c r="DR22" s="177"/>
      <c r="DS22" s="177"/>
      <c r="DT22" s="177"/>
      <c r="DU22" s="177"/>
      <c r="DV22" s="177"/>
      <c r="DW22" s="177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7"/>
      <c r="FV22" s="177"/>
      <c r="FW22" s="177"/>
      <c r="FX22" s="177"/>
      <c r="FY22" s="177"/>
      <c r="FZ22" s="177"/>
      <c r="GA22" s="177"/>
      <c r="GB22" s="177"/>
      <c r="GC22" s="177"/>
      <c r="GD22" s="177"/>
      <c r="GE22" s="177"/>
      <c r="GF22" s="177"/>
      <c r="GG22" s="177"/>
      <c r="GH22" s="177"/>
      <c r="GI22" s="177"/>
      <c r="GJ22" s="177"/>
      <c r="GK22" s="177"/>
      <c r="GL22" s="177"/>
      <c r="GM22" s="177"/>
      <c r="GN22" s="177"/>
      <c r="GO22" s="177"/>
      <c r="GP22" s="177"/>
      <c r="GQ22" s="177"/>
      <c r="GR22" s="177"/>
      <c r="GS22" s="177"/>
      <c r="GT22" s="177"/>
      <c r="GU22" s="177"/>
      <c r="GV22" s="177"/>
      <c r="GW22" s="177"/>
      <c r="GX22" s="177"/>
      <c r="GY22" s="177"/>
      <c r="GZ22" s="177"/>
      <c r="HA22" s="177"/>
      <c r="HB22" s="177"/>
      <c r="HC22" s="177"/>
      <c r="HD22" s="177"/>
      <c r="HE22" s="177"/>
      <c r="HF22" s="177"/>
      <c r="HG22" s="177"/>
      <c r="HH22" s="177"/>
      <c r="HI22" s="177"/>
      <c r="HJ22" s="177"/>
      <c r="HK22" s="177"/>
      <c r="HL22" s="177"/>
      <c r="HM22" s="177"/>
      <c r="HN22" s="177"/>
      <c r="HO22" s="177"/>
      <c r="HP22" s="177"/>
      <c r="HQ22" s="177"/>
      <c r="HR22" s="177"/>
      <c r="HS22" s="177"/>
      <c r="HT22" s="177"/>
      <c r="HU22" s="177"/>
      <c r="HV22" s="177"/>
      <c r="HW22" s="177"/>
      <c r="HX22" s="177"/>
      <c r="HY22" s="177"/>
      <c r="HZ22" s="177"/>
      <c r="IA22" s="177"/>
      <c r="IB22" s="177"/>
      <c r="IC22" s="177"/>
      <c r="ID22" s="177"/>
      <c r="IE22" s="177"/>
      <c r="IF22" s="177"/>
      <c r="IG22" s="177"/>
      <c r="IH22" s="177"/>
      <c r="II22" s="177"/>
      <c r="IJ22" s="177"/>
      <c r="IK22" s="177"/>
      <c r="IL22" s="177"/>
      <c r="IM22" s="177"/>
      <c r="IN22" s="177"/>
      <c r="IO22" s="177"/>
      <c r="IP22" s="177"/>
      <c r="IQ22" s="177"/>
      <c r="IR22" s="177"/>
      <c r="IS22" s="177"/>
      <c r="IT22" s="177"/>
      <c r="IU22" s="177"/>
      <c r="IV22" s="177"/>
      <c r="IW22" s="177"/>
      <c r="IX22" s="177"/>
      <c r="IY22" s="177"/>
      <c r="IZ22" s="177"/>
      <c r="JA22" s="177"/>
      <c r="JB22" s="177"/>
      <c r="JC22" s="177"/>
      <c r="JD22" s="177"/>
      <c r="JE22" s="177"/>
      <c r="JF22" s="177"/>
      <c r="JG22" s="177"/>
      <c r="JH22" s="177"/>
      <c r="JI22" s="177"/>
      <c r="JJ22" s="177"/>
      <c r="JK22" s="177"/>
      <c r="JL22" s="177"/>
      <c r="JM22" s="177"/>
      <c r="JN22" s="177"/>
      <c r="JO22" s="177"/>
      <c r="JP22" s="177"/>
      <c r="JQ22" s="177"/>
      <c r="JR22" s="177"/>
    </row>
    <row r="23" s="178" customFormat="true" ht="21" hidden="false" customHeight="true" outlineLevel="0" collapsed="false">
      <c r="A23" s="139" t="s">
        <v>909</v>
      </c>
      <c r="B23" s="140" t="s">
        <v>1133</v>
      </c>
      <c r="C23" s="139" t="s">
        <v>1134</v>
      </c>
      <c r="D23" s="139" t="s">
        <v>1135</v>
      </c>
      <c r="E23" s="141"/>
      <c r="F23" s="141"/>
      <c r="G23" s="141"/>
      <c r="H23" s="141"/>
      <c r="I23" s="141"/>
      <c r="J23" s="176"/>
      <c r="K23" s="176"/>
      <c r="L23" s="176"/>
      <c r="M23" s="176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  <c r="BN23" s="177"/>
      <c r="BO23" s="177"/>
      <c r="BP23" s="177"/>
      <c r="BQ23" s="177"/>
      <c r="BR23" s="177"/>
      <c r="BS23" s="177"/>
      <c r="BT23" s="177"/>
      <c r="BU23" s="177"/>
      <c r="BV23" s="177"/>
      <c r="BW23" s="177"/>
      <c r="BX23" s="177"/>
      <c r="BY23" s="177"/>
      <c r="BZ23" s="177"/>
      <c r="CA23" s="177"/>
      <c r="CB23" s="177"/>
      <c r="CC23" s="177"/>
      <c r="CD23" s="177"/>
      <c r="CE23" s="177"/>
      <c r="CF23" s="177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177"/>
      <c r="DB23" s="177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77"/>
      <c r="DU23" s="177"/>
      <c r="DV23" s="177"/>
      <c r="DW23" s="177"/>
      <c r="DX23" s="177"/>
      <c r="DY23" s="177"/>
      <c r="DZ23" s="177"/>
      <c r="EA23" s="177"/>
      <c r="EB23" s="177"/>
      <c r="EC23" s="177"/>
      <c r="ED23" s="177"/>
      <c r="EE23" s="177"/>
      <c r="EF23" s="177"/>
      <c r="EG23" s="177"/>
      <c r="EH23" s="177"/>
      <c r="EI23" s="177"/>
      <c r="EJ23" s="177"/>
      <c r="EK23" s="177"/>
      <c r="EL23" s="177"/>
      <c r="EM23" s="177"/>
      <c r="EN23" s="177"/>
      <c r="EO23" s="177"/>
      <c r="EP23" s="177"/>
      <c r="EQ23" s="177"/>
      <c r="ER23" s="177"/>
      <c r="ES23" s="177"/>
      <c r="ET23" s="177"/>
      <c r="EU23" s="177"/>
      <c r="EV23" s="177"/>
      <c r="EW23" s="177"/>
      <c r="EX23" s="177"/>
      <c r="EY23" s="177"/>
      <c r="EZ23" s="177"/>
      <c r="FA23" s="177"/>
      <c r="FB23" s="177"/>
      <c r="FC23" s="177"/>
      <c r="FD23" s="177"/>
      <c r="FE23" s="177"/>
      <c r="FF23" s="177"/>
      <c r="FG23" s="177"/>
      <c r="FH23" s="177"/>
      <c r="FI23" s="177"/>
      <c r="FJ23" s="177"/>
      <c r="FK23" s="177"/>
      <c r="FL23" s="177"/>
      <c r="FM23" s="177"/>
      <c r="FN23" s="177"/>
      <c r="FO23" s="177"/>
      <c r="FP23" s="177"/>
      <c r="FQ23" s="177"/>
      <c r="FR23" s="177"/>
      <c r="FS23" s="177"/>
      <c r="FT23" s="177"/>
      <c r="FU23" s="177"/>
      <c r="FV23" s="177"/>
      <c r="FW23" s="177"/>
      <c r="FX23" s="177"/>
      <c r="FY23" s="177"/>
      <c r="FZ23" s="177"/>
      <c r="GA23" s="177"/>
      <c r="GB23" s="177"/>
      <c r="GC23" s="177"/>
      <c r="GD23" s="177"/>
      <c r="GE23" s="177"/>
      <c r="GF23" s="177"/>
      <c r="GG23" s="177"/>
      <c r="GH23" s="177"/>
      <c r="GI23" s="177"/>
      <c r="GJ23" s="177"/>
      <c r="GK23" s="177"/>
      <c r="GL23" s="177"/>
      <c r="GM23" s="177"/>
      <c r="GN23" s="177"/>
      <c r="GO23" s="177"/>
      <c r="GP23" s="177"/>
      <c r="GQ23" s="177"/>
      <c r="GR23" s="177"/>
      <c r="GS23" s="177"/>
      <c r="GT23" s="177"/>
      <c r="GU23" s="177"/>
      <c r="GV23" s="177"/>
      <c r="GW23" s="177"/>
      <c r="GX23" s="177"/>
      <c r="GY23" s="177"/>
      <c r="GZ23" s="177"/>
      <c r="HA23" s="177"/>
      <c r="HB23" s="177"/>
      <c r="HC23" s="177"/>
      <c r="HD23" s="177"/>
      <c r="HE23" s="177"/>
      <c r="HF23" s="177"/>
      <c r="HG23" s="177"/>
      <c r="HH23" s="177"/>
      <c r="HI23" s="177"/>
      <c r="HJ23" s="177"/>
      <c r="HK23" s="177"/>
      <c r="HL23" s="177"/>
      <c r="HM23" s="177"/>
      <c r="HN23" s="177"/>
      <c r="HO23" s="177"/>
      <c r="HP23" s="177"/>
      <c r="HQ23" s="177"/>
      <c r="HR23" s="177"/>
      <c r="HS23" s="177"/>
      <c r="HT23" s="177"/>
      <c r="HU23" s="177"/>
      <c r="HV23" s="177"/>
      <c r="HW23" s="177"/>
      <c r="HX23" s="177"/>
      <c r="HY23" s="177"/>
      <c r="HZ23" s="177"/>
      <c r="IA23" s="177"/>
      <c r="IB23" s="177"/>
      <c r="IC23" s="177"/>
      <c r="ID23" s="177"/>
      <c r="IE23" s="177"/>
      <c r="IF23" s="177"/>
      <c r="IG23" s="177"/>
      <c r="IH23" s="177"/>
      <c r="II23" s="177"/>
      <c r="IJ23" s="177"/>
      <c r="IK23" s="177"/>
      <c r="IL23" s="177"/>
      <c r="IM23" s="177"/>
      <c r="IN23" s="177"/>
      <c r="IO23" s="177"/>
      <c r="IP23" s="177"/>
      <c r="IQ23" s="177"/>
      <c r="IR23" s="177"/>
      <c r="IS23" s="177"/>
      <c r="IT23" s="177"/>
      <c r="IU23" s="177"/>
      <c r="IV23" s="177"/>
      <c r="IW23" s="177"/>
      <c r="IX23" s="177"/>
      <c r="IY23" s="177"/>
      <c r="IZ23" s="177"/>
      <c r="JA23" s="177"/>
      <c r="JB23" s="177"/>
      <c r="JC23" s="177"/>
      <c r="JD23" s="177"/>
      <c r="JE23" s="177"/>
      <c r="JF23" s="177"/>
      <c r="JG23" s="177"/>
      <c r="JH23" s="177"/>
      <c r="JI23" s="177"/>
      <c r="JJ23" s="177"/>
      <c r="JK23" s="177"/>
      <c r="JL23" s="177"/>
      <c r="JM23" s="177"/>
      <c r="JN23" s="177"/>
      <c r="JO23" s="177"/>
      <c r="JP23" s="177"/>
      <c r="JQ23" s="177"/>
      <c r="JR23" s="177"/>
    </row>
    <row r="24" s="178" customFormat="true" ht="21" hidden="false" customHeight="true" outlineLevel="0" collapsed="false">
      <c r="A24" s="144" t="s">
        <v>909</v>
      </c>
      <c r="B24" s="145" t="s">
        <v>1136</v>
      </c>
      <c r="C24" s="144" t="s">
        <v>1137</v>
      </c>
      <c r="D24" s="144" t="s">
        <v>1138</v>
      </c>
      <c r="E24" s="146"/>
      <c r="F24" s="146"/>
      <c r="G24" s="146"/>
      <c r="H24" s="146"/>
      <c r="I24" s="144" t="s">
        <v>1139</v>
      </c>
      <c r="J24" s="179"/>
      <c r="K24" s="179"/>
      <c r="L24" s="179"/>
      <c r="M24" s="179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7"/>
      <c r="BN24" s="177"/>
      <c r="BO24" s="177"/>
      <c r="BP24" s="177"/>
      <c r="BQ24" s="177"/>
      <c r="BR24" s="177"/>
      <c r="BS24" s="177"/>
      <c r="BT24" s="177"/>
      <c r="BU24" s="177"/>
      <c r="BV24" s="177"/>
      <c r="BW24" s="177"/>
      <c r="BX24" s="177"/>
      <c r="BY24" s="177"/>
      <c r="BZ24" s="177"/>
      <c r="CA24" s="177"/>
      <c r="CB24" s="177"/>
      <c r="CC24" s="177"/>
      <c r="CD24" s="177"/>
      <c r="CE24" s="177"/>
      <c r="CF24" s="177"/>
      <c r="CG24" s="177"/>
      <c r="CH24" s="177"/>
      <c r="CI24" s="177"/>
      <c r="CJ24" s="177"/>
      <c r="CK24" s="177"/>
      <c r="CL24" s="177"/>
      <c r="CM24" s="177"/>
      <c r="CN24" s="177"/>
      <c r="CO24" s="177"/>
      <c r="CP24" s="177"/>
      <c r="CQ24" s="177"/>
      <c r="CR24" s="177"/>
      <c r="CS24" s="177"/>
      <c r="CT24" s="177"/>
      <c r="CU24" s="177"/>
      <c r="CV24" s="177"/>
      <c r="CW24" s="177"/>
      <c r="CX24" s="177"/>
      <c r="CY24" s="177"/>
      <c r="CZ24" s="177"/>
      <c r="DA24" s="177"/>
      <c r="DB24" s="177"/>
      <c r="DC24" s="177"/>
      <c r="DD24" s="177"/>
      <c r="DE24" s="177"/>
      <c r="DF24" s="177"/>
      <c r="DG24" s="177"/>
      <c r="DH24" s="177"/>
      <c r="DI24" s="177"/>
      <c r="DJ24" s="177"/>
      <c r="DK24" s="177"/>
      <c r="DL24" s="177"/>
      <c r="DM24" s="177"/>
      <c r="DN24" s="177"/>
      <c r="DO24" s="177"/>
      <c r="DP24" s="177"/>
      <c r="DQ24" s="177"/>
      <c r="DR24" s="177"/>
      <c r="DS24" s="177"/>
      <c r="DT24" s="177"/>
      <c r="DU24" s="177"/>
      <c r="DV24" s="177"/>
      <c r="DW24" s="177"/>
      <c r="DX24" s="177"/>
      <c r="DY24" s="177"/>
      <c r="DZ24" s="177"/>
      <c r="EA24" s="177"/>
      <c r="EB24" s="177"/>
      <c r="EC24" s="177"/>
      <c r="ED24" s="177"/>
      <c r="EE24" s="177"/>
      <c r="EF24" s="177"/>
      <c r="EG24" s="177"/>
      <c r="EH24" s="177"/>
      <c r="EI24" s="177"/>
      <c r="EJ24" s="177"/>
      <c r="EK24" s="177"/>
      <c r="EL24" s="177"/>
      <c r="EM24" s="177"/>
      <c r="EN24" s="177"/>
      <c r="EO24" s="177"/>
      <c r="EP24" s="177"/>
      <c r="EQ24" s="177"/>
      <c r="ER24" s="177"/>
      <c r="ES24" s="177"/>
      <c r="ET24" s="177"/>
      <c r="EU24" s="177"/>
      <c r="EV24" s="177"/>
      <c r="EW24" s="177"/>
      <c r="EX24" s="177"/>
      <c r="EY24" s="177"/>
      <c r="EZ24" s="177"/>
      <c r="FA24" s="177"/>
      <c r="FB24" s="177"/>
      <c r="FC24" s="177"/>
      <c r="FD24" s="177"/>
      <c r="FE24" s="177"/>
      <c r="FF24" s="177"/>
      <c r="FG24" s="177"/>
      <c r="FH24" s="177"/>
      <c r="FI24" s="177"/>
      <c r="FJ24" s="177"/>
      <c r="FK24" s="177"/>
      <c r="FL24" s="177"/>
      <c r="FM24" s="177"/>
      <c r="FN24" s="177"/>
      <c r="FO24" s="177"/>
      <c r="FP24" s="177"/>
      <c r="FQ24" s="177"/>
      <c r="FR24" s="177"/>
      <c r="FS24" s="177"/>
      <c r="FT24" s="177"/>
      <c r="FU24" s="177"/>
      <c r="FV24" s="177"/>
      <c r="FW24" s="177"/>
      <c r="FX24" s="177"/>
      <c r="FY24" s="177"/>
      <c r="FZ24" s="177"/>
      <c r="GA24" s="177"/>
      <c r="GB24" s="177"/>
      <c r="GC24" s="177"/>
      <c r="GD24" s="177"/>
      <c r="GE24" s="177"/>
      <c r="GF24" s="177"/>
      <c r="GG24" s="177"/>
      <c r="GH24" s="177"/>
      <c r="GI24" s="177"/>
      <c r="GJ24" s="177"/>
      <c r="GK24" s="177"/>
      <c r="GL24" s="177"/>
      <c r="GM24" s="177"/>
      <c r="GN24" s="177"/>
      <c r="GO24" s="177"/>
      <c r="GP24" s="177"/>
      <c r="GQ24" s="177"/>
      <c r="GR24" s="177"/>
      <c r="GS24" s="177"/>
      <c r="GT24" s="177"/>
      <c r="GU24" s="177"/>
      <c r="GV24" s="177"/>
      <c r="GW24" s="177"/>
      <c r="GX24" s="177"/>
      <c r="GY24" s="177"/>
      <c r="GZ24" s="177"/>
      <c r="HA24" s="177"/>
      <c r="HB24" s="177"/>
      <c r="HC24" s="177"/>
      <c r="HD24" s="177"/>
      <c r="HE24" s="177"/>
      <c r="HF24" s="177"/>
      <c r="HG24" s="177"/>
      <c r="HH24" s="177"/>
      <c r="HI24" s="177"/>
      <c r="HJ24" s="177"/>
      <c r="HK24" s="177"/>
      <c r="HL24" s="177"/>
      <c r="HM24" s="177"/>
      <c r="HN24" s="177"/>
      <c r="HO24" s="177"/>
      <c r="HP24" s="177"/>
      <c r="HQ24" s="177"/>
      <c r="HR24" s="177"/>
      <c r="HS24" s="177"/>
      <c r="HT24" s="177"/>
      <c r="HU24" s="177"/>
      <c r="HV24" s="177"/>
      <c r="HW24" s="177"/>
      <c r="HX24" s="177"/>
      <c r="HY24" s="177"/>
      <c r="HZ24" s="177"/>
      <c r="IA24" s="177"/>
      <c r="IB24" s="177"/>
      <c r="IC24" s="177"/>
      <c r="ID24" s="177"/>
      <c r="IE24" s="177"/>
      <c r="IF24" s="177"/>
      <c r="IG24" s="177"/>
      <c r="IH24" s="177"/>
      <c r="II24" s="177"/>
      <c r="IJ24" s="177"/>
      <c r="IK24" s="177"/>
      <c r="IL24" s="177"/>
      <c r="IM24" s="177"/>
      <c r="IN24" s="177"/>
      <c r="IO24" s="177"/>
      <c r="IP24" s="177"/>
      <c r="IQ24" s="177"/>
      <c r="IR24" s="177"/>
      <c r="IS24" s="177"/>
      <c r="IT24" s="177"/>
      <c r="IU24" s="177"/>
      <c r="IV24" s="177"/>
      <c r="IW24" s="177"/>
      <c r="IX24" s="177"/>
      <c r="IY24" s="177"/>
      <c r="IZ24" s="177"/>
      <c r="JA24" s="177"/>
      <c r="JB24" s="177"/>
      <c r="JC24" s="177"/>
      <c r="JD24" s="177"/>
      <c r="JE24" s="177"/>
      <c r="JF24" s="177"/>
      <c r="JG24" s="177"/>
      <c r="JH24" s="177"/>
      <c r="JI24" s="177"/>
      <c r="JJ24" s="177"/>
      <c r="JK24" s="177"/>
      <c r="JL24" s="177"/>
      <c r="JM24" s="177"/>
      <c r="JN24" s="177"/>
      <c r="JO24" s="177"/>
      <c r="JP24" s="177"/>
      <c r="JQ24" s="177"/>
      <c r="JR24" s="177"/>
    </row>
    <row r="25" s="178" customFormat="true" ht="21" hidden="false" customHeight="true" outlineLevel="0" collapsed="false">
      <c r="A25" s="139" t="s">
        <v>909</v>
      </c>
      <c r="B25" s="140" t="s">
        <v>1140</v>
      </c>
      <c r="C25" s="139" t="s">
        <v>1141</v>
      </c>
      <c r="D25" s="139" t="s">
        <v>1142</v>
      </c>
      <c r="E25" s="141"/>
      <c r="F25" s="141"/>
      <c r="G25" s="141"/>
      <c r="H25" s="141"/>
      <c r="I25" s="141"/>
      <c r="J25" s="176"/>
      <c r="K25" s="176"/>
      <c r="L25" s="176"/>
      <c r="M25" s="176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  <c r="AH25" s="177"/>
      <c r="AI25" s="177"/>
      <c r="AJ25" s="177"/>
      <c r="AK25" s="177"/>
      <c r="AL25" s="177"/>
      <c r="AM25" s="177"/>
      <c r="AN25" s="177"/>
      <c r="AO25" s="177"/>
      <c r="AP25" s="177"/>
      <c r="AQ25" s="177"/>
      <c r="AR25" s="177"/>
      <c r="AS25" s="177"/>
      <c r="AT25" s="177"/>
      <c r="AU25" s="177"/>
      <c r="AV25" s="177"/>
      <c r="AW25" s="177"/>
      <c r="AX25" s="177"/>
      <c r="AY25" s="177"/>
      <c r="AZ25" s="177"/>
      <c r="BA25" s="177"/>
      <c r="BB25" s="177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7"/>
      <c r="BN25" s="177"/>
      <c r="BO25" s="177"/>
      <c r="BP25" s="177"/>
      <c r="BQ25" s="177"/>
      <c r="BR25" s="177"/>
      <c r="BS25" s="177"/>
      <c r="BT25" s="177"/>
      <c r="BU25" s="177"/>
      <c r="BV25" s="177"/>
      <c r="BW25" s="177"/>
      <c r="BX25" s="177"/>
      <c r="BY25" s="177"/>
      <c r="BZ25" s="177"/>
      <c r="CA25" s="177"/>
      <c r="CB25" s="177"/>
      <c r="CC25" s="177"/>
      <c r="CD25" s="177"/>
      <c r="CE25" s="177"/>
      <c r="CF25" s="177"/>
      <c r="CG25" s="177"/>
      <c r="CH25" s="177"/>
      <c r="CI25" s="177"/>
      <c r="CJ25" s="177"/>
      <c r="CK25" s="177"/>
      <c r="CL25" s="177"/>
      <c r="CM25" s="177"/>
      <c r="CN25" s="177"/>
      <c r="CO25" s="177"/>
      <c r="CP25" s="177"/>
      <c r="CQ25" s="177"/>
      <c r="CR25" s="177"/>
      <c r="CS25" s="177"/>
      <c r="CT25" s="177"/>
      <c r="CU25" s="177"/>
      <c r="CV25" s="177"/>
      <c r="CW25" s="177"/>
      <c r="CX25" s="177"/>
      <c r="CY25" s="177"/>
      <c r="CZ25" s="177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7"/>
      <c r="DL25" s="177"/>
      <c r="DM25" s="177"/>
      <c r="DN25" s="177"/>
      <c r="DO25" s="177"/>
      <c r="DP25" s="177"/>
      <c r="DQ25" s="177"/>
      <c r="DR25" s="177"/>
      <c r="DS25" s="177"/>
      <c r="DT25" s="177"/>
      <c r="DU25" s="177"/>
      <c r="DV25" s="177"/>
      <c r="DW25" s="177"/>
      <c r="DX25" s="177"/>
      <c r="DY25" s="177"/>
      <c r="DZ25" s="177"/>
      <c r="EA25" s="177"/>
      <c r="EB25" s="177"/>
      <c r="EC25" s="177"/>
      <c r="ED25" s="177"/>
      <c r="EE25" s="177"/>
      <c r="EF25" s="177"/>
      <c r="EG25" s="177"/>
      <c r="EH25" s="177"/>
      <c r="EI25" s="177"/>
      <c r="EJ25" s="177"/>
      <c r="EK25" s="177"/>
      <c r="EL25" s="177"/>
      <c r="EM25" s="177"/>
      <c r="EN25" s="177"/>
      <c r="EO25" s="177"/>
      <c r="EP25" s="177"/>
      <c r="EQ25" s="177"/>
      <c r="ER25" s="177"/>
      <c r="ES25" s="177"/>
      <c r="ET25" s="177"/>
      <c r="EU25" s="177"/>
      <c r="EV25" s="177"/>
      <c r="EW25" s="177"/>
      <c r="EX25" s="177"/>
      <c r="EY25" s="177"/>
      <c r="EZ25" s="177"/>
      <c r="FA25" s="177"/>
      <c r="FB25" s="177"/>
      <c r="FC25" s="177"/>
      <c r="FD25" s="177"/>
      <c r="FE25" s="177"/>
      <c r="FF25" s="177"/>
      <c r="FG25" s="177"/>
      <c r="FH25" s="177"/>
      <c r="FI25" s="177"/>
      <c r="FJ25" s="177"/>
      <c r="FK25" s="177"/>
      <c r="FL25" s="177"/>
      <c r="FM25" s="177"/>
      <c r="FN25" s="177"/>
      <c r="FO25" s="177"/>
      <c r="FP25" s="177"/>
      <c r="FQ25" s="177"/>
      <c r="FR25" s="177"/>
      <c r="FS25" s="177"/>
      <c r="FT25" s="177"/>
      <c r="FU25" s="177"/>
      <c r="FV25" s="177"/>
      <c r="FW25" s="177"/>
      <c r="FX25" s="177"/>
      <c r="FY25" s="177"/>
      <c r="FZ25" s="177"/>
      <c r="GA25" s="177"/>
      <c r="GB25" s="177"/>
      <c r="GC25" s="177"/>
      <c r="GD25" s="177"/>
      <c r="GE25" s="177"/>
      <c r="GF25" s="177"/>
      <c r="GG25" s="177"/>
      <c r="GH25" s="177"/>
      <c r="GI25" s="177"/>
      <c r="GJ25" s="177"/>
      <c r="GK25" s="177"/>
      <c r="GL25" s="177"/>
      <c r="GM25" s="177"/>
      <c r="GN25" s="177"/>
      <c r="GO25" s="177"/>
      <c r="GP25" s="177"/>
      <c r="GQ25" s="177"/>
      <c r="GR25" s="177"/>
      <c r="GS25" s="177"/>
      <c r="GT25" s="177"/>
      <c r="GU25" s="177"/>
      <c r="GV25" s="177"/>
      <c r="GW25" s="177"/>
      <c r="GX25" s="177"/>
      <c r="GY25" s="177"/>
      <c r="GZ25" s="177"/>
      <c r="HA25" s="177"/>
      <c r="HB25" s="177"/>
      <c r="HC25" s="177"/>
      <c r="HD25" s="177"/>
      <c r="HE25" s="177"/>
      <c r="HF25" s="177"/>
      <c r="HG25" s="177"/>
      <c r="HH25" s="177"/>
      <c r="HI25" s="177"/>
      <c r="HJ25" s="177"/>
      <c r="HK25" s="177"/>
      <c r="HL25" s="177"/>
      <c r="HM25" s="177"/>
      <c r="HN25" s="177"/>
      <c r="HO25" s="177"/>
      <c r="HP25" s="177"/>
      <c r="HQ25" s="177"/>
      <c r="HR25" s="177"/>
      <c r="HS25" s="177"/>
      <c r="HT25" s="177"/>
      <c r="HU25" s="177"/>
      <c r="HV25" s="177"/>
      <c r="HW25" s="177"/>
      <c r="HX25" s="177"/>
      <c r="HY25" s="177"/>
      <c r="HZ25" s="177"/>
      <c r="IA25" s="177"/>
      <c r="IB25" s="177"/>
      <c r="IC25" s="177"/>
      <c r="ID25" s="177"/>
      <c r="IE25" s="177"/>
      <c r="IF25" s="177"/>
      <c r="IG25" s="177"/>
      <c r="IH25" s="177"/>
      <c r="II25" s="177"/>
      <c r="IJ25" s="177"/>
      <c r="IK25" s="177"/>
      <c r="IL25" s="177"/>
      <c r="IM25" s="177"/>
      <c r="IN25" s="177"/>
      <c r="IO25" s="177"/>
      <c r="IP25" s="177"/>
      <c r="IQ25" s="177"/>
      <c r="IR25" s="177"/>
      <c r="IS25" s="177"/>
      <c r="IT25" s="177"/>
      <c r="IU25" s="177"/>
      <c r="IV25" s="177"/>
      <c r="IW25" s="177"/>
      <c r="IX25" s="177"/>
      <c r="IY25" s="177"/>
      <c r="IZ25" s="177"/>
      <c r="JA25" s="177"/>
      <c r="JB25" s="177"/>
      <c r="JC25" s="177"/>
      <c r="JD25" s="177"/>
      <c r="JE25" s="177"/>
      <c r="JF25" s="177"/>
      <c r="JG25" s="177"/>
      <c r="JH25" s="177"/>
      <c r="JI25" s="177"/>
      <c r="JJ25" s="177"/>
      <c r="JK25" s="177"/>
      <c r="JL25" s="177"/>
      <c r="JM25" s="177"/>
      <c r="JN25" s="177"/>
      <c r="JO25" s="177"/>
      <c r="JP25" s="177"/>
      <c r="JQ25" s="177"/>
      <c r="JR25" s="177"/>
    </row>
    <row r="26" s="178" customFormat="true" ht="21" hidden="false" customHeight="true" outlineLevel="0" collapsed="false">
      <c r="A26" s="144" t="s">
        <v>1096</v>
      </c>
      <c r="B26" s="145" t="s">
        <v>1143</v>
      </c>
      <c r="C26" s="144" t="s">
        <v>1144</v>
      </c>
      <c r="D26" s="144" t="s">
        <v>1145</v>
      </c>
      <c r="E26" s="146"/>
      <c r="F26" s="146"/>
      <c r="G26" s="146"/>
      <c r="H26" s="146"/>
      <c r="I26" s="146"/>
      <c r="J26" s="179"/>
      <c r="K26" s="179"/>
      <c r="L26" s="179"/>
      <c r="M26" s="179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77"/>
      <c r="BA26" s="177"/>
      <c r="BB26" s="177"/>
      <c r="BC26" s="177"/>
      <c r="BD26" s="177"/>
      <c r="BE26" s="177"/>
      <c r="BF26" s="177"/>
      <c r="BG26" s="177"/>
      <c r="BH26" s="177"/>
      <c r="BI26" s="177"/>
      <c r="BJ26" s="177"/>
      <c r="BK26" s="177"/>
      <c r="BL26" s="177"/>
      <c r="BM26" s="177"/>
      <c r="BN26" s="177"/>
      <c r="BO26" s="177"/>
      <c r="BP26" s="177"/>
      <c r="BQ26" s="177"/>
      <c r="BR26" s="177"/>
      <c r="BS26" s="177"/>
      <c r="BT26" s="177"/>
      <c r="BU26" s="177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7"/>
      <c r="CV26" s="177"/>
      <c r="CW26" s="177"/>
      <c r="CX26" s="177"/>
      <c r="CY26" s="177"/>
      <c r="CZ26" s="177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  <c r="DK26" s="177"/>
      <c r="DL26" s="177"/>
      <c r="DM26" s="177"/>
      <c r="DN26" s="177"/>
      <c r="DO26" s="177"/>
      <c r="DP26" s="177"/>
      <c r="DQ26" s="177"/>
      <c r="DR26" s="177"/>
      <c r="DS26" s="177"/>
      <c r="DT26" s="177"/>
      <c r="DU26" s="177"/>
      <c r="DV26" s="177"/>
      <c r="DW26" s="177"/>
      <c r="DX26" s="177"/>
      <c r="DY26" s="177"/>
      <c r="DZ26" s="177"/>
      <c r="EA26" s="177"/>
      <c r="EB26" s="177"/>
      <c r="EC26" s="177"/>
      <c r="ED26" s="177"/>
      <c r="EE26" s="177"/>
      <c r="EF26" s="177"/>
      <c r="EG26" s="177"/>
      <c r="EH26" s="177"/>
      <c r="EI26" s="177"/>
      <c r="EJ26" s="177"/>
      <c r="EK26" s="177"/>
      <c r="EL26" s="177"/>
      <c r="EM26" s="177"/>
      <c r="EN26" s="177"/>
      <c r="EO26" s="177"/>
      <c r="EP26" s="177"/>
      <c r="EQ26" s="177"/>
      <c r="ER26" s="177"/>
      <c r="ES26" s="177"/>
      <c r="ET26" s="177"/>
      <c r="EU26" s="177"/>
      <c r="EV26" s="177"/>
      <c r="EW26" s="177"/>
      <c r="EX26" s="177"/>
      <c r="EY26" s="177"/>
      <c r="EZ26" s="177"/>
      <c r="FA26" s="177"/>
      <c r="FB26" s="177"/>
      <c r="FC26" s="177"/>
      <c r="FD26" s="177"/>
      <c r="FE26" s="177"/>
      <c r="FF26" s="177"/>
      <c r="FG26" s="177"/>
      <c r="FH26" s="177"/>
      <c r="FI26" s="177"/>
      <c r="FJ26" s="177"/>
      <c r="FK26" s="177"/>
      <c r="FL26" s="177"/>
      <c r="FM26" s="177"/>
      <c r="FN26" s="177"/>
      <c r="FO26" s="177"/>
      <c r="FP26" s="177"/>
      <c r="FQ26" s="177"/>
      <c r="FR26" s="177"/>
      <c r="FS26" s="177"/>
      <c r="FT26" s="177"/>
      <c r="FU26" s="177"/>
      <c r="FV26" s="177"/>
      <c r="FW26" s="177"/>
      <c r="FX26" s="177"/>
      <c r="FY26" s="177"/>
      <c r="FZ26" s="177"/>
      <c r="GA26" s="177"/>
      <c r="GB26" s="177"/>
      <c r="GC26" s="177"/>
      <c r="GD26" s="177"/>
      <c r="GE26" s="177"/>
      <c r="GF26" s="177"/>
      <c r="GG26" s="177"/>
      <c r="GH26" s="177"/>
      <c r="GI26" s="177"/>
      <c r="GJ26" s="177"/>
      <c r="GK26" s="177"/>
      <c r="GL26" s="177"/>
      <c r="GM26" s="177"/>
      <c r="GN26" s="177"/>
      <c r="GO26" s="177"/>
      <c r="GP26" s="177"/>
      <c r="GQ26" s="177"/>
      <c r="GR26" s="177"/>
      <c r="GS26" s="177"/>
      <c r="GT26" s="177"/>
      <c r="GU26" s="177"/>
      <c r="GV26" s="177"/>
      <c r="GW26" s="177"/>
      <c r="GX26" s="177"/>
      <c r="GY26" s="177"/>
      <c r="GZ26" s="177"/>
      <c r="HA26" s="177"/>
      <c r="HB26" s="177"/>
      <c r="HC26" s="177"/>
      <c r="HD26" s="177"/>
      <c r="HE26" s="177"/>
      <c r="HF26" s="177"/>
      <c r="HG26" s="177"/>
      <c r="HH26" s="177"/>
      <c r="HI26" s="177"/>
      <c r="HJ26" s="177"/>
      <c r="HK26" s="177"/>
      <c r="HL26" s="177"/>
      <c r="HM26" s="177"/>
      <c r="HN26" s="177"/>
      <c r="HO26" s="177"/>
      <c r="HP26" s="177"/>
      <c r="HQ26" s="177"/>
      <c r="HR26" s="177"/>
      <c r="HS26" s="177"/>
      <c r="HT26" s="177"/>
      <c r="HU26" s="177"/>
      <c r="HV26" s="177"/>
      <c r="HW26" s="177"/>
      <c r="HX26" s="177"/>
      <c r="HY26" s="177"/>
      <c r="HZ26" s="177"/>
      <c r="IA26" s="177"/>
      <c r="IB26" s="177"/>
      <c r="IC26" s="177"/>
      <c r="ID26" s="177"/>
      <c r="IE26" s="177"/>
      <c r="IF26" s="177"/>
      <c r="IG26" s="177"/>
      <c r="IH26" s="177"/>
      <c r="II26" s="177"/>
      <c r="IJ26" s="177"/>
      <c r="IK26" s="177"/>
      <c r="IL26" s="177"/>
      <c r="IM26" s="177"/>
      <c r="IN26" s="177"/>
      <c r="IO26" s="177"/>
      <c r="IP26" s="177"/>
      <c r="IQ26" s="177"/>
      <c r="IR26" s="177"/>
      <c r="IS26" s="177"/>
      <c r="IT26" s="177"/>
      <c r="IU26" s="177"/>
      <c r="IV26" s="177"/>
      <c r="IW26" s="177"/>
      <c r="IX26" s="177"/>
      <c r="IY26" s="177"/>
      <c r="IZ26" s="177"/>
      <c r="JA26" s="177"/>
      <c r="JB26" s="177"/>
      <c r="JC26" s="177"/>
      <c r="JD26" s="177"/>
      <c r="JE26" s="177"/>
      <c r="JF26" s="177"/>
      <c r="JG26" s="177"/>
      <c r="JH26" s="177"/>
      <c r="JI26" s="177"/>
      <c r="JJ26" s="177"/>
      <c r="JK26" s="177"/>
      <c r="JL26" s="177"/>
      <c r="JM26" s="177"/>
      <c r="JN26" s="177"/>
      <c r="JO26" s="177"/>
      <c r="JP26" s="177"/>
      <c r="JQ26" s="177"/>
      <c r="JR26" s="177"/>
    </row>
    <row r="27" s="178" customFormat="true" ht="21" hidden="false" customHeight="true" outlineLevel="0" collapsed="false">
      <c r="A27" s="139" t="s">
        <v>1096</v>
      </c>
      <c r="B27" s="140" t="s">
        <v>1146</v>
      </c>
      <c r="C27" s="141"/>
      <c r="D27" s="139" t="s">
        <v>1147</v>
      </c>
      <c r="E27" s="141"/>
      <c r="F27" s="141"/>
      <c r="G27" s="141"/>
      <c r="H27" s="141"/>
      <c r="I27" s="141"/>
      <c r="J27" s="176"/>
      <c r="K27" s="176"/>
      <c r="L27" s="176"/>
      <c r="M27" s="176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7"/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7"/>
      <c r="CH27" s="177"/>
      <c r="CI27" s="177"/>
      <c r="CJ27" s="177"/>
      <c r="CK27" s="177"/>
      <c r="CL27" s="177"/>
      <c r="CM27" s="177"/>
      <c r="CN27" s="177"/>
      <c r="CO27" s="177"/>
      <c r="CP27" s="177"/>
      <c r="CQ27" s="177"/>
      <c r="CR27" s="177"/>
      <c r="CS27" s="177"/>
      <c r="CT27" s="177"/>
      <c r="CU27" s="177"/>
      <c r="CV27" s="177"/>
      <c r="CW27" s="177"/>
      <c r="CX27" s="177"/>
      <c r="CY27" s="177"/>
      <c r="CZ27" s="177"/>
      <c r="DA27" s="177"/>
      <c r="DB27" s="177"/>
      <c r="DC27" s="177"/>
      <c r="DD27" s="177"/>
      <c r="DE27" s="177"/>
      <c r="DF27" s="177"/>
      <c r="DG27" s="177"/>
      <c r="DH27" s="177"/>
      <c r="DI27" s="177"/>
      <c r="DJ27" s="177"/>
      <c r="DK27" s="177"/>
      <c r="DL27" s="177"/>
      <c r="DM27" s="177"/>
      <c r="DN27" s="177"/>
      <c r="DO27" s="177"/>
      <c r="DP27" s="177"/>
      <c r="DQ27" s="177"/>
      <c r="DR27" s="177"/>
      <c r="DS27" s="177"/>
      <c r="DT27" s="177"/>
      <c r="DU27" s="177"/>
      <c r="DV27" s="177"/>
      <c r="DW27" s="177"/>
      <c r="DX27" s="177"/>
      <c r="DY27" s="177"/>
      <c r="DZ27" s="177"/>
      <c r="EA27" s="177"/>
      <c r="EB27" s="177"/>
      <c r="EC27" s="177"/>
      <c r="ED27" s="177"/>
      <c r="EE27" s="177"/>
      <c r="EF27" s="177"/>
      <c r="EG27" s="177"/>
      <c r="EH27" s="177"/>
      <c r="EI27" s="177"/>
      <c r="EJ27" s="177"/>
      <c r="EK27" s="177"/>
      <c r="EL27" s="177"/>
      <c r="EM27" s="177"/>
      <c r="EN27" s="177"/>
      <c r="EO27" s="177"/>
      <c r="EP27" s="177"/>
      <c r="EQ27" s="177"/>
      <c r="ER27" s="177"/>
      <c r="ES27" s="177"/>
      <c r="ET27" s="177"/>
      <c r="EU27" s="177"/>
      <c r="EV27" s="177"/>
      <c r="EW27" s="177"/>
      <c r="EX27" s="177"/>
      <c r="EY27" s="177"/>
      <c r="EZ27" s="177"/>
      <c r="FA27" s="177"/>
      <c r="FB27" s="177"/>
      <c r="FC27" s="177"/>
      <c r="FD27" s="177"/>
      <c r="FE27" s="177"/>
      <c r="FF27" s="177"/>
      <c r="FG27" s="177"/>
      <c r="FH27" s="177"/>
      <c r="FI27" s="177"/>
      <c r="FJ27" s="177"/>
      <c r="FK27" s="177"/>
      <c r="FL27" s="177"/>
      <c r="FM27" s="177"/>
      <c r="FN27" s="177"/>
      <c r="FO27" s="177"/>
      <c r="FP27" s="177"/>
      <c r="FQ27" s="177"/>
      <c r="FR27" s="177"/>
      <c r="FS27" s="177"/>
      <c r="FT27" s="177"/>
      <c r="FU27" s="177"/>
      <c r="FV27" s="177"/>
      <c r="FW27" s="177"/>
      <c r="FX27" s="177"/>
      <c r="FY27" s="177"/>
      <c r="FZ27" s="177"/>
      <c r="GA27" s="177"/>
      <c r="GB27" s="177"/>
      <c r="GC27" s="177"/>
      <c r="GD27" s="177"/>
      <c r="GE27" s="177"/>
      <c r="GF27" s="177"/>
      <c r="GG27" s="177"/>
      <c r="GH27" s="177"/>
      <c r="GI27" s="177"/>
      <c r="GJ27" s="177"/>
      <c r="GK27" s="177"/>
      <c r="GL27" s="177"/>
      <c r="GM27" s="177"/>
      <c r="GN27" s="177"/>
      <c r="GO27" s="177"/>
      <c r="GP27" s="177"/>
      <c r="GQ27" s="177"/>
      <c r="GR27" s="177"/>
      <c r="GS27" s="177"/>
      <c r="GT27" s="177"/>
      <c r="GU27" s="177"/>
      <c r="GV27" s="177"/>
      <c r="GW27" s="177"/>
      <c r="GX27" s="177"/>
      <c r="GY27" s="177"/>
      <c r="GZ27" s="177"/>
      <c r="HA27" s="177"/>
      <c r="HB27" s="177"/>
      <c r="HC27" s="177"/>
      <c r="HD27" s="177"/>
      <c r="HE27" s="177"/>
      <c r="HF27" s="177"/>
      <c r="HG27" s="177"/>
      <c r="HH27" s="177"/>
      <c r="HI27" s="177"/>
      <c r="HJ27" s="177"/>
      <c r="HK27" s="177"/>
      <c r="HL27" s="177"/>
      <c r="HM27" s="177"/>
      <c r="HN27" s="177"/>
      <c r="HO27" s="177"/>
      <c r="HP27" s="177"/>
      <c r="HQ27" s="177"/>
      <c r="HR27" s="177"/>
      <c r="HS27" s="177"/>
      <c r="HT27" s="177"/>
      <c r="HU27" s="177"/>
      <c r="HV27" s="177"/>
      <c r="HW27" s="177"/>
      <c r="HX27" s="177"/>
      <c r="HY27" s="177"/>
      <c r="HZ27" s="177"/>
      <c r="IA27" s="177"/>
      <c r="IB27" s="177"/>
      <c r="IC27" s="177"/>
      <c r="ID27" s="177"/>
      <c r="IE27" s="177"/>
      <c r="IF27" s="177"/>
      <c r="IG27" s="177"/>
      <c r="IH27" s="177"/>
      <c r="II27" s="177"/>
      <c r="IJ27" s="177"/>
      <c r="IK27" s="177"/>
      <c r="IL27" s="177"/>
      <c r="IM27" s="177"/>
      <c r="IN27" s="177"/>
      <c r="IO27" s="177"/>
      <c r="IP27" s="177"/>
      <c r="IQ27" s="177"/>
      <c r="IR27" s="177"/>
      <c r="IS27" s="177"/>
      <c r="IT27" s="177"/>
      <c r="IU27" s="177"/>
      <c r="IV27" s="177"/>
      <c r="IW27" s="177"/>
      <c r="IX27" s="177"/>
      <c r="IY27" s="177"/>
      <c r="IZ27" s="177"/>
      <c r="JA27" s="177"/>
      <c r="JB27" s="177"/>
      <c r="JC27" s="177"/>
      <c r="JD27" s="177"/>
      <c r="JE27" s="177"/>
      <c r="JF27" s="177"/>
      <c r="JG27" s="177"/>
      <c r="JH27" s="177"/>
      <c r="JI27" s="177"/>
      <c r="JJ27" s="177"/>
      <c r="JK27" s="177"/>
      <c r="JL27" s="177"/>
      <c r="JM27" s="177"/>
      <c r="JN27" s="177"/>
      <c r="JO27" s="177"/>
      <c r="JP27" s="177"/>
      <c r="JQ27" s="177"/>
      <c r="JR27" s="177"/>
    </row>
    <row r="28" s="178" customFormat="true" ht="21" hidden="false" customHeight="true" outlineLevel="0" collapsed="false">
      <c r="A28" s="144" t="s">
        <v>1096</v>
      </c>
      <c r="B28" s="145" t="s">
        <v>1148</v>
      </c>
      <c r="C28" s="144" t="s">
        <v>1149</v>
      </c>
      <c r="D28" s="144" t="s">
        <v>1150</v>
      </c>
      <c r="E28" s="146"/>
      <c r="F28" s="146"/>
      <c r="G28" s="146"/>
      <c r="H28" s="146"/>
      <c r="I28" s="146"/>
      <c r="J28" s="179"/>
      <c r="K28" s="179"/>
      <c r="L28" s="179"/>
      <c r="M28" s="179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177"/>
      <c r="BQ28" s="177"/>
      <c r="BR28" s="177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  <c r="CF28" s="177"/>
      <c r="CG28" s="177"/>
      <c r="CH28" s="177"/>
      <c r="CI28" s="177"/>
      <c r="CJ28" s="177"/>
      <c r="CK28" s="177"/>
      <c r="CL28" s="177"/>
      <c r="CM28" s="177"/>
      <c r="CN28" s="177"/>
      <c r="CO28" s="177"/>
      <c r="CP28" s="177"/>
      <c r="CQ28" s="177"/>
      <c r="CR28" s="177"/>
      <c r="CS28" s="177"/>
      <c r="CT28" s="177"/>
      <c r="CU28" s="177"/>
      <c r="CV28" s="177"/>
      <c r="CW28" s="177"/>
      <c r="CX28" s="177"/>
      <c r="CY28" s="177"/>
      <c r="CZ28" s="177"/>
      <c r="DA28" s="177"/>
      <c r="DB28" s="177"/>
      <c r="DC28" s="177"/>
      <c r="DD28" s="177"/>
      <c r="DE28" s="177"/>
      <c r="DF28" s="177"/>
      <c r="DG28" s="177"/>
      <c r="DH28" s="177"/>
      <c r="DI28" s="177"/>
      <c r="DJ28" s="177"/>
      <c r="DK28" s="177"/>
      <c r="DL28" s="177"/>
      <c r="DM28" s="177"/>
      <c r="DN28" s="177"/>
      <c r="DO28" s="177"/>
      <c r="DP28" s="177"/>
      <c r="DQ28" s="177"/>
      <c r="DR28" s="177"/>
      <c r="DS28" s="177"/>
      <c r="DT28" s="177"/>
      <c r="DU28" s="177"/>
      <c r="DV28" s="177"/>
      <c r="DW28" s="177"/>
      <c r="DX28" s="177"/>
      <c r="DY28" s="177"/>
      <c r="DZ28" s="177"/>
      <c r="EA28" s="177"/>
      <c r="EB28" s="177"/>
      <c r="EC28" s="177"/>
      <c r="ED28" s="177"/>
      <c r="EE28" s="177"/>
      <c r="EF28" s="177"/>
      <c r="EG28" s="177"/>
      <c r="EH28" s="177"/>
      <c r="EI28" s="177"/>
      <c r="EJ28" s="177"/>
      <c r="EK28" s="177"/>
      <c r="EL28" s="177"/>
      <c r="EM28" s="177"/>
      <c r="EN28" s="177"/>
      <c r="EO28" s="177"/>
      <c r="EP28" s="177"/>
      <c r="EQ28" s="177"/>
      <c r="ER28" s="177"/>
      <c r="ES28" s="177"/>
      <c r="ET28" s="177"/>
      <c r="EU28" s="177"/>
      <c r="EV28" s="177"/>
      <c r="EW28" s="177"/>
      <c r="EX28" s="177"/>
      <c r="EY28" s="177"/>
      <c r="EZ28" s="177"/>
      <c r="FA28" s="177"/>
      <c r="FB28" s="177"/>
      <c r="FC28" s="177"/>
      <c r="FD28" s="177"/>
      <c r="FE28" s="177"/>
      <c r="FF28" s="177"/>
      <c r="FG28" s="177"/>
      <c r="FH28" s="177"/>
      <c r="FI28" s="177"/>
      <c r="FJ28" s="177"/>
      <c r="FK28" s="177"/>
      <c r="FL28" s="177"/>
      <c r="FM28" s="177"/>
      <c r="FN28" s="177"/>
      <c r="FO28" s="177"/>
      <c r="FP28" s="177"/>
      <c r="FQ28" s="177"/>
      <c r="FR28" s="177"/>
      <c r="FS28" s="177"/>
      <c r="FT28" s="177"/>
      <c r="FU28" s="177"/>
      <c r="FV28" s="177"/>
      <c r="FW28" s="177"/>
      <c r="FX28" s="177"/>
      <c r="FY28" s="177"/>
      <c r="FZ28" s="177"/>
      <c r="GA28" s="177"/>
      <c r="GB28" s="177"/>
      <c r="GC28" s="177"/>
      <c r="GD28" s="177"/>
      <c r="GE28" s="177"/>
      <c r="GF28" s="177"/>
      <c r="GG28" s="177"/>
      <c r="GH28" s="177"/>
      <c r="GI28" s="177"/>
      <c r="GJ28" s="177"/>
      <c r="GK28" s="177"/>
      <c r="GL28" s="177"/>
      <c r="GM28" s="177"/>
      <c r="GN28" s="177"/>
      <c r="GO28" s="177"/>
      <c r="GP28" s="177"/>
      <c r="GQ28" s="177"/>
      <c r="GR28" s="177"/>
      <c r="GS28" s="177"/>
      <c r="GT28" s="177"/>
      <c r="GU28" s="177"/>
      <c r="GV28" s="177"/>
      <c r="GW28" s="177"/>
      <c r="GX28" s="177"/>
      <c r="GY28" s="177"/>
      <c r="GZ28" s="177"/>
      <c r="HA28" s="177"/>
      <c r="HB28" s="177"/>
      <c r="HC28" s="177"/>
      <c r="HD28" s="177"/>
      <c r="HE28" s="177"/>
      <c r="HF28" s="177"/>
      <c r="HG28" s="177"/>
      <c r="HH28" s="177"/>
      <c r="HI28" s="177"/>
      <c r="HJ28" s="177"/>
      <c r="HK28" s="177"/>
      <c r="HL28" s="177"/>
      <c r="HM28" s="177"/>
      <c r="HN28" s="177"/>
      <c r="HO28" s="177"/>
      <c r="HP28" s="177"/>
      <c r="HQ28" s="177"/>
      <c r="HR28" s="177"/>
      <c r="HS28" s="177"/>
      <c r="HT28" s="177"/>
      <c r="HU28" s="177"/>
      <c r="HV28" s="177"/>
      <c r="HW28" s="177"/>
      <c r="HX28" s="177"/>
      <c r="HY28" s="177"/>
      <c r="HZ28" s="177"/>
      <c r="IA28" s="177"/>
      <c r="IB28" s="177"/>
      <c r="IC28" s="177"/>
      <c r="ID28" s="177"/>
      <c r="IE28" s="177"/>
      <c r="IF28" s="177"/>
      <c r="IG28" s="177"/>
      <c r="IH28" s="177"/>
      <c r="II28" s="177"/>
      <c r="IJ28" s="177"/>
      <c r="IK28" s="177"/>
      <c r="IL28" s="177"/>
      <c r="IM28" s="177"/>
      <c r="IN28" s="177"/>
      <c r="IO28" s="177"/>
      <c r="IP28" s="177"/>
      <c r="IQ28" s="177"/>
      <c r="IR28" s="177"/>
      <c r="IS28" s="177"/>
      <c r="IT28" s="177"/>
      <c r="IU28" s="177"/>
      <c r="IV28" s="177"/>
      <c r="IW28" s="177"/>
      <c r="IX28" s="177"/>
      <c r="IY28" s="177"/>
      <c r="IZ28" s="177"/>
      <c r="JA28" s="177"/>
      <c r="JB28" s="177"/>
      <c r="JC28" s="177"/>
      <c r="JD28" s="177"/>
      <c r="JE28" s="177"/>
      <c r="JF28" s="177"/>
      <c r="JG28" s="177"/>
      <c r="JH28" s="177"/>
      <c r="JI28" s="177"/>
      <c r="JJ28" s="177"/>
      <c r="JK28" s="177"/>
      <c r="JL28" s="177"/>
      <c r="JM28" s="177"/>
      <c r="JN28" s="177"/>
      <c r="JO28" s="177"/>
      <c r="JP28" s="177"/>
      <c r="JQ28" s="177"/>
      <c r="JR28" s="177"/>
    </row>
    <row r="29" s="178" customFormat="true" ht="21" hidden="false" customHeight="true" outlineLevel="0" collapsed="false">
      <c r="A29" s="139" t="s">
        <v>1096</v>
      </c>
      <c r="B29" s="140" t="s">
        <v>1151</v>
      </c>
      <c r="C29" s="139" t="s">
        <v>1149</v>
      </c>
      <c r="D29" s="139" t="s">
        <v>1152</v>
      </c>
      <c r="E29" s="141"/>
      <c r="F29" s="141"/>
      <c r="G29" s="141"/>
      <c r="H29" s="141"/>
      <c r="I29" s="141"/>
      <c r="J29" s="176"/>
      <c r="K29" s="176"/>
      <c r="L29" s="176"/>
      <c r="M29" s="176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  <c r="AH29" s="177"/>
      <c r="AI29" s="177"/>
      <c r="AJ29" s="177"/>
      <c r="AK29" s="177"/>
      <c r="AL29" s="177"/>
      <c r="AM29" s="177"/>
      <c r="AN29" s="177"/>
      <c r="AO29" s="177"/>
      <c r="AP29" s="177"/>
      <c r="AQ29" s="177"/>
      <c r="AR29" s="177"/>
      <c r="AS29" s="177"/>
      <c r="AT29" s="177"/>
      <c r="AU29" s="177"/>
      <c r="AV29" s="177"/>
      <c r="AW29" s="177"/>
      <c r="AX29" s="177"/>
      <c r="AY29" s="177"/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7"/>
      <c r="BK29" s="177"/>
      <c r="BL29" s="177"/>
      <c r="BM29" s="177"/>
      <c r="BN29" s="177"/>
      <c r="BO29" s="177"/>
      <c r="BP29" s="177"/>
      <c r="BQ29" s="177"/>
      <c r="BR29" s="177"/>
      <c r="BS29" s="177"/>
      <c r="BT29" s="177"/>
      <c r="BU29" s="177"/>
      <c r="BV29" s="177"/>
      <c r="BW29" s="177"/>
      <c r="BX29" s="177"/>
      <c r="BY29" s="177"/>
      <c r="BZ29" s="177"/>
      <c r="CA29" s="177"/>
      <c r="CB29" s="177"/>
      <c r="CC29" s="177"/>
      <c r="CD29" s="177"/>
      <c r="CE29" s="177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7"/>
      <c r="CR29" s="177"/>
      <c r="CS29" s="177"/>
      <c r="CT29" s="177"/>
      <c r="CU29" s="177"/>
      <c r="CV29" s="177"/>
      <c r="CW29" s="177"/>
      <c r="CX29" s="177"/>
      <c r="CY29" s="177"/>
      <c r="CZ29" s="177"/>
      <c r="DA29" s="177"/>
      <c r="DB29" s="177"/>
      <c r="DC29" s="177"/>
      <c r="DD29" s="177"/>
      <c r="DE29" s="177"/>
      <c r="DF29" s="177"/>
      <c r="DG29" s="177"/>
      <c r="DH29" s="177"/>
      <c r="DI29" s="177"/>
      <c r="DJ29" s="177"/>
      <c r="DK29" s="177"/>
      <c r="DL29" s="177"/>
      <c r="DM29" s="177"/>
      <c r="DN29" s="177"/>
      <c r="DO29" s="177"/>
      <c r="DP29" s="177"/>
      <c r="DQ29" s="177"/>
      <c r="DR29" s="177"/>
      <c r="DS29" s="177"/>
      <c r="DT29" s="177"/>
      <c r="DU29" s="177"/>
      <c r="DV29" s="177"/>
      <c r="DW29" s="177"/>
      <c r="DX29" s="177"/>
      <c r="DY29" s="177"/>
      <c r="DZ29" s="177"/>
      <c r="EA29" s="177"/>
      <c r="EB29" s="177"/>
      <c r="EC29" s="177"/>
      <c r="ED29" s="177"/>
      <c r="EE29" s="177"/>
      <c r="EF29" s="177"/>
      <c r="EG29" s="177"/>
      <c r="EH29" s="177"/>
      <c r="EI29" s="177"/>
      <c r="EJ29" s="177"/>
      <c r="EK29" s="177"/>
      <c r="EL29" s="177"/>
      <c r="EM29" s="177"/>
      <c r="EN29" s="177"/>
      <c r="EO29" s="177"/>
      <c r="EP29" s="177"/>
      <c r="EQ29" s="177"/>
      <c r="ER29" s="177"/>
      <c r="ES29" s="177"/>
      <c r="ET29" s="177"/>
      <c r="EU29" s="177"/>
      <c r="EV29" s="177"/>
      <c r="EW29" s="177"/>
      <c r="EX29" s="177"/>
      <c r="EY29" s="177"/>
      <c r="EZ29" s="177"/>
      <c r="FA29" s="177"/>
      <c r="FB29" s="177"/>
      <c r="FC29" s="177"/>
      <c r="FD29" s="177"/>
      <c r="FE29" s="177"/>
      <c r="FF29" s="177"/>
      <c r="FG29" s="177"/>
      <c r="FH29" s="177"/>
      <c r="FI29" s="177"/>
      <c r="FJ29" s="177"/>
      <c r="FK29" s="177"/>
      <c r="FL29" s="177"/>
      <c r="FM29" s="177"/>
      <c r="FN29" s="177"/>
      <c r="FO29" s="177"/>
      <c r="FP29" s="177"/>
      <c r="FQ29" s="177"/>
      <c r="FR29" s="177"/>
      <c r="FS29" s="177"/>
      <c r="FT29" s="177"/>
      <c r="FU29" s="177"/>
      <c r="FV29" s="177"/>
      <c r="FW29" s="177"/>
      <c r="FX29" s="177"/>
      <c r="FY29" s="177"/>
      <c r="FZ29" s="177"/>
      <c r="GA29" s="177"/>
      <c r="GB29" s="177"/>
      <c r="GC29" s="177"/>
      <c r="GD29" s="177"/>
      <c r="GE29" s="177"/>
      <c r="GF29" s="177"/>
      <c r="GG29" s="177"/>
      <c r="GH29" s="177"/>
      <c r="GI29" s="177"/>
      <c r="GJ29" s="177"/>
      <c r="GK29" s="177"/>
      <c r="GL29" s="177"/>
      <c r="GM29" s="177"/>
      <c r="GN29" s="177"/>
      <c r="GO29" s="177"/>
      <c r="GP29" s="177"/>
      <c r="GQ29" s="177"/>
      <c r="GR29" s="177"/>
      <c r="GS29" s="177"/>
      <c r="GT29" s="177"/>
      <c r="GU29" s="177"/>
      <c r="GV29" s="177"/>
      <c r="GW29" s="177"/>
      <c r="GX29" s="177"/>
      <c r="GY29" s="177"/>
      <c r="GZ29" s="177"/>
      <c r="HA29" s="177"/>
      <c r="HB29" s="177"/>
      <c r="HC29" s="177"/>
      <c r="HD29" s="177"/>
      <c r="HE29" s="177"/>
      <c r="HF29" s="177"/>
      <c r="HG29" s="177"/>
      <c r="HH29" s="177"/>
      <c r="HI29" s="177"/>
      <c r="HJ29" s="177"/>
      <c r="HK29" s="177"/>
      <c r="HL29" s="177"/>
      <c r="HM29" s="177"/>
      <c r="HN29" s="177"/>
      <c r="HO29" s="177"/>
      <c r="HP29" s="177"/>
      <c r="HQ29" s="177"/>
      <c r="HR29" s="177"/>
      <c r="HS29" s="177"/>
      <c r="HT29" s="177"/>
      <c r="HU29" s="177"/>
      <c r="HV29" s="177"/>
      <c r="HW29" s="177"/>
      <c r="HX29" s="177"/>
      <c r="HY29" s="177"/>
      <c r="HZ29" s="177"/>
      <c r="IA29" s="177"/>
      <c r="IB29" s="177"/>
      <c r="IC29" s="177"/>
      <c r="ID29" s="177"/>
      <c r="IE29" s="177"/>
      <c r="IF29" s="177"/>
      <c r="IG29" s="177"/>
      <c r="IH29" s="177"/>
      <c r="II29" s="177"/>
      <c r="IJ29" s="177"/>
      <c r="IK29" s="177"/>
      <c r="IL29" s="177"/>
      <c r="IM29" s="177"/>
      <c r="IN29" s="177"/>
      <c r="IO29" s="177"/>
      <c r="IP29" s="177"/>
      <c r="IQ29" s="177"/>
      <c r="IR29" s="177"/>
      <c r="IS29" s="177"/>
      <c r="IT29" s="177"/>
      <c r="IU29" s="177"/>
      <c r="IV29" s="177"/>
      <c r="IW29" s="177"/>
      <c r="IX29" s="177"/>
      <c r="IY29" s="177"/>
      <c r="IZ29" s="177"/>
      <c r="JA29" s="177"/>
      <c r="JB29" s="177"/>
      <c r="JC29" s="177"/>
      <c r="JD29" s="177"/>
      <c r="JE29" s="177"/>
      <c r="JF29" s="177"/>
      <c r="JG29" s="177"/>
      <c r="JH29" s="177"/>
      <c r="JI29" s="177"/>
      <c r="JJ29" s="177"/>
      <c r="JK29" s="177"/>
      <c r="JL29" s="177"/>
      <c r="JM29" s="177"/>
      <c r="JN29" s="177"/>
      <c r="JO29" s="177"/>
      <c r="JP29" s="177"/>
      <c r="JQ29" s="177"/>
      <c r="JR29" s="177"/>
    </row>
    <row r="30" s="178" customFormat="true" ht="21" hidden="false" customHeight="true" outlineLevel="0" collapsed="false">
      <c r="A30" s="144" t="s">
        <v>949</v>
      </c>
      <c r="B30" s="145" t="s">
        <v>1153</v>
      </c>
      <c r="C30" s="144" t="s">
        <v>1154</v>
      </c>
      <c r="D30" s="144" t="s">
        <v>1155</v>
      </c>
      <c r="E30" s="146"/>
      <c r="F30" s="146"/>
      <c r="G30" s="146"/>
      <c r="H30" s="146"/>
      <c r="I30" s="146"/>
      <c r="J30" s="179"/>
      <c r="K30" s="179"/>
      <c r="L30" s="179"/>
      <c r="M30" s="179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177"/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7"/>
      <c r="BK30" s="177"/>
      <c r="BL30" s="177"/>
      <c r="BM30" s="177"/>
      <c r="BN30" s="177"/>
      <c r="BO30" s="177"/>
      <c r="BP30" s="177"/>
      <c r="BQ30" s="177"/>
      <c r="BR30" s="177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7"/>
      <c r="CD30" s="177"/>
      <c r="CE30" s="177"/>
      <c r="CF30" s="177"/>
      <c r="CG30" s="177"/>
      <c r="CH30" s="177"/>
      <c r="CI30" s="177"/>
      <c r="CJ30" s="177"/>
      <c r="CK30" s="177"/>
      <c r="CL30" s="177"/>
      <c r="CM30" s="177"/>
      <c r="CN30" s="177"/>
      <c r="CO30" s="177"/>
      <c r="CP30" s="177"/>
      <c r="CQ30" s="177"/>
      <c r="CR30" s="177"/>
      <c r="CS30" s="177"/>
      <c r="CT30" s="177"/>
      <c r="CU30" s="177"/>
      <c r="CV30" s="177"/>
      <c r="CW30" s="177"/>
      <c r="CX30" s="177"/>
      <c r="CY30" s="177"/>
      <c r="CZ30" s="177"/>
      <c r="DA30" s="177"/>
      <c r="DB30" s="177"/>
      <c r="DC30" s="177"/>
      <c r="DD30" s="177"/>
      <c r="DE30" s="177"/>
      <c r="DF30" s="177"/>
      <c r="DG30" s="177"/>
      <c r="DH30" s="177"/>
      <c r="DI30" s="177"/>
      <c r="DJ30" s="177"/>
      <c r="DK30" s="177"/>
      <c r="DL30" s="177"/>
      <c r="DM30" s="177"/>
      <c r="DN30" s="177"/>
      <c r="DO30" s="177"/>
      <c r="DP30" s="177"/>
      <c r="DQ30" s="177"/>
      <c r="DR30" s="177"/>
      <c r="DS30" s="177"/>
      <c r="DT30" s="177"/>
      <c r="DU30" s="177"/>
      <c r="DV30" s="177"/>
      <c r="DW30" s="177"/>
      <c r="DX30" s="177"/>
      <c r="DY30" s="177"/>
      <c r="DZ30" s="177"/>
      <c r="EA30" s="177"/>
      <c r="EB30" s="177"/>
      <c r="EC30" s="177"/>
      <c r="ED30" s="177"/>
      <c r="EE30" s="177"/>
      <c r="EF30" s="177"/>
      <c r="EG30" s="177"/>
      <c r="EH30" s="177"/>
      <c r="EI30" s="177"/>
      <c r="EJ30" s="177"/>
      <c r="EK30" s="177"/>
      <c r="EL30" s="177"/>
      <c r="EM30" s="177"/>
      <c r="EN30" s="177"/>
      <c r="EO30" s="177"/>
      <c r="EP30" s="177"/>
      <c r="EQ30" s="177"/>
      <c r="ER30" s="177"/>
      <c r="ES30" s="177"/>
      <c r="ET30" s="177"/>
      <c r="EU30" s="177"/>
      <c r="EV30" s="177"/>
      <c r="EW30" s="177"/>
      <c r="EX30" s="177"/>
      <c r="EY30" s="177"/>
      <c r="EZ30" s="177"/>
      <c r="FA30" s="177"/>
      <c r="FB30" s="177"/>
      <c r="FC30" s="177"/>
      <c r="FD30" s="177"/>
      <c r="FE30" s="177"/>
      <c r="FF30" s="177"/>
      <c r="FG30" s="177"/>
      <c r="FH30" s="177"/>
      <c r="FI30" s="177"/>
      <c r="FJ30" s="177"/>
      <c r="FK30" s="177"/>
      <c r="FL30" s="177"/>
      <c r="FM30" s="177"/>
      <c r="FN30" s="177"/>
      <c r="FO30" s="177"/>
      <c r="FP30" s="177"/>
      <c r="FQ30" s="177"/>
      <c r="FR30" s="177"/>
      <c r="FS30" s="177"/>
      <c r="FT30" s="177"/>
      <c r="FU30" s="177"/>
      <c r="FV30" s="177"/>
      <c r="FW30" s="177"/>
      <c r="FX30" s="177"/>
      <c r="FY30" s="177"/>
      <c r="FZ30" s="177"/>
      <c r="GA30" s="177"/>
      <c r="GB30" s="177"/>
      <c r="GC30" s="177"/>
      <c r="GD30" s="177"/>
      <c r="GE30" s="177"/>
      <c r="GF30" s="177"/>
      <c r="GG30" s="177"/>
      <c r="GH30" s="177"/>
      <c r="GI30" s="177"/>
      <c r="GJ30" s="177"/>
      <c r="GK30" s="177"/>
      <c r="GL30" s="177"/>
      <c r="GM30" s="177"/>
      <c r="GN30" s="177"/>
      <c r="GO30" s="177"/>
      <c r="GP30" s="177"/>
      <c r="GQ30" s="177"/>
      <c r="GR30" s="177"/>
      <c r="GS30" s="177"/>
      <c r="GT30" s="177"/>
      <c r="GU30" s="177"/>
      <c r="GV30" s="177"/>
      <c r="GW30" s="177"/>
      <c r="GX30" s="177"/>
      <c r="GY30" s="177"/>
      <c r="GZ30" s="177"/>
      <c r="HA30" s="177"/>
      <c r="HB30" s="177"/>
      <c r="HC30" s="177"/>
      <c r="HD30" s="177"/>
      <c r="HE30" s="177"/>
      <c r="HF30" s="177"/>
      <c r="HG30" s="177"/>
      <c r="HH30" s="177"/>
      <c r="HI30" s="177"/>
      <c r="HJ30" s="177"/>
      <c r="HK30" s="177"/>
      <c r="HL30" s="177"/>
      <c r="HM30" s="177"/>
      <c r="HN30" s="177"/>
      <c r="HO30" s="177"/>
      <c r="HP30" s="177"/>
      <c r="HQ30" s="177"/>
      <c r="HR30" s="177"/>
      <c r="HS30" s="177"/>
      <c r="HT30" s="177"/>
      <c r="HU30" s="177"/>
      <c r="HV30" s="177"/>
      <c r="HW30" s="177"/>
      <c r="HX30" s="177"/>
      <c r="HY30" s="177"/>
      <c r="HZ30" s="177"/>
      <c r="IA30" s="177"/>
      <c r="IB30" s="177"/>
      <c r="IC30" s="177"/>
      <c r="ID30" s="177"/>
      <c r="IE30" s="177"/>
      <c r="IF30" s="177"/>
      <c r="IG30" s="177"/>
      <c r="IH30" s="177"/>
      <c r="II30" s="177"/>
      <c r="IJ30" s="177"/>
      <c r="IK30" s="177"/>
      <c r="IL30" s="177"/>
      <c r="IM30" s="177"/>
      <c r="IN30" s="177"/>
      <c r="IO30" s="177"/>
      <c r="IP30" s="177"/>
      <c r="IQ30" s="177"/>
      <c r="IR30" s="177"/>
      <c r="IS30" s="177"/>
      <c r="IT30" s="177"/>
      <c r="IU30" s="177"/>
      <c r="IV30" s="177"/>
      <c r="IW30" s="177"/>
      <c r="IX30" s="177"/>
      <c r="IY30" s="177"/>
      <c r="IZ30" s="177"/>
      <c r="JA30" s="177"/>
      <c r="JB30" s="177"/>
      <c r="JC30" s="177"/>
      <c r="JD30" s="177"/>
      <c r="JE30" s="177"/>
      <c r="JF30" s="177"/>
      <c r="JG30" s="177"/>
      <c r="JH30" s="177"/>
      <c r="JI30" s="177"/>
      <c r="JJ30" s="177"/>
      <c r="JK30" s="177"/>
      <c r="JL30" s="177"/>
      <c r="JM30" s="177"/>
      <c r="JN30" s="177"/>
      <c r="JO30" s="177"/>
      <c r="JP30" s="177"/>
      <c r="JQ30" s="177"/>
      <c r="JR30" s="177"/>
    </row>
    <row r="31" s="178" customFormat="true" ht="21" hidden="false" customHeight="true" outlineLevel="0" collapsed="false">
      <c r="A31" s="139" t="s">
        <v>909</v>
      </c>
      <c r="B31" s="140" t="s">
        <v>1156</v>
      </c>
      <c r="C31" s="139" t="s">
        <v>1157</v>
      </c>
      <c r="D31" s="139" t="s">
        <v>1158</v>
      </c>
      <c r="E31" s="141"/>
      <c r="F31" s="141"/>
      <c r="G31" s="141"/>
      <c r="H31" s="141"/>
      <c r="I31" s="141"/>
      <c r="J31" s="176"/>
      <c r="K31" s="176"/>
      <c r="L31" s="176"/>
      <c r="M31" s="176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  <c r="AK31" s="177"/>
      <c r="AL31" s="177"/>
      <c r="AM31" s="177"/>
      <c r="AN31" s="177"/>
      <c r="AO31" s="177"/>
      <c r="AP31" s="177"/>
      <c r="AQ31" s="177"/>
      <c r="AR31" s="177"/>
      <c r="AS31" s="177"/>
      <c r="AT31" s="177"/>
      <c r="AU31" s="177"/>
      <c r="AV31" s="177"/>
      <c r="AW31" s="177"/>
      <c r="AX31" s="177"/>
      <c r="AY31" s="177"/>
      <c r="AZ31" s="177"/>
      <c r="BA31" s="177"/>
      <c r="BB31" s="177"/>
      <c r="BC31" s="177"/>
      <c r="BD31" s="177"/>
      <c r="BE31" s="177"/>
      <c r="BF31" s="177"/>
      <c r="BG31" s="177"/>
      <c r="BH31" s="177"/>
      <c r="BI31" s="177"/>
      <c r="BJ31" s="177"/>
      <c r="BK31" s="177"/>
      <c r="BL31" s="177"/>
      <c r="BM31" s="177"/>
      <c r="BN31" s="177"/>
      <c r="BO31" s="177"/>
      <c r="BP31" s="177"/>
      <c r="BQ31" s="177"/>
      <c r="BR31" s="177"/>
      <c r="BS31" s="177"/>
      <c r="BT31" s="177"/>
      <c r="BU31" s="177"/>
      <c r="BV31" s="177"/>
      <c r="BW31" s="177"/>
      <c r="BX31" s="177"/>
      <c r="BY31" s="177"/>
      <c r="BZ31" s="177"/>
      <c r="CA31" s="177"/>
      <c r="CB31" s="177"/>
      <c r="CC31" s="177"/>
      <c r="CD31" s="177"/>
      <c r="CE31" s="177"/>
      <c r="CF31" s="177"/>
      <c r="CG31" s="177"/>
      <c r="CH31" s="177"/>
      <c r="CI31" s="177"/>
      <c r="CJ31" s="177"/>
      <c r="CK31" s="177"/>
      <c r="CL31" s="177"/>
      <c r="CM31" s="177"/>
      <c r="CN31" s="177"/>
      <c r="CO31" s="177"/>
      <c r="CP31" s="177"/>
      <c r="CQ31" s="177"/>
      <c r="CR31" s="177"/>
      <c r="CS31" s="177"/>
      <c r="CT31" s="177"/>
      <c r="CU31" s="177"/>
      <c r="CV31" s="177"/>
      <c r="CW31" s="177"/>
      <c r="CX31" s="177"/>
      <c r="CY31" s="177"/>
      <c r="CZ31" s="177"/>
      <c r="DA31" s="177"/>
      <c r="DB31" s="177"/>
      <c r="DC31" s="177"/>
      <c r="DD31" s="177"/>
      <c r="DE31" s="177"/>
      <c r="DF31" s="177"/>
      <c r="DG31" s="177"/>
      <c r="DH31" s="177"/>
      <c r="DI31" s="177"/>
      <c r="DJ31" s="177"/>
      <c r="DK31" s="177"/>
      <c r="DL31" s="177"/>
      <c r="DM31" s="177"/>
      <c r="DN31" s="177"/>
      <c r="DO31" s="177"/>
      <c r="DP31" s="177"/>
      <c r="DQ31" s="177"/>
      <c r="DR31" s="177"/>
      <c r="DS31" s="177"/>
      <c r="DT31" s="177"/>
      <c r="DU31" s="177"/>
      <c r="DV31" s="177"/>
      <c r="DW31" s="177"/>
      <c r="DX31" s="177"/>
      <c r="DY31" s="177"/>
      <c r="DZ31" s="177"/>
      <c r="EA31" s="177"/>
      <c r="EB31" s="177"/>
      <c r="EC31" s="177"/>
      <c r="ED31" s="177"/>
      <c r="EE31" s="177"/>
      <c r="EF31" s="177"/>
      <c r="EG31" s="177"/>
      <c r="EH31" s="177"/>
      <c r="EI31" s="177"/>
      <c r="EJ31" s="177"/>
      <c r="EK31" s="177"/>
      <c r="EL31" s="177"/>
      <c r="EM31" s="177"/>
      <c r="EN31" s="177"/>
      <c r="EO31" s="177"/>
      <c r="EP31" s="177"/>
      <c r="EQ31" s="177"/>
      <c r="ER31" s="177"/>
      <c r="ES31" s="177"/>
      <c r="ET31" s="177"/>
      <c r="EU31" s="177"/>
      <c r="EV31" s="177"/>
      <c r="EW31" s="177"/>
      <c r="EX31" s="177"/>
      <c r="EY31" s="177"/>
      <c r="EZ31" s="177"/>
      <c r="FA31" s="177"/>
      <c r="FB31" s="177"/>
      <c r="FC31" s="177"/>
      <c r="FD31" s="177"/>
      <c r="FE31" s="177"/>
      <c r="FF31" s="177"/>
      <c r="FG31" s="177"/>
      <c r="FH31" s="177"/>
      <c r="FI31" s="177"/>
      <c r="FJ31" s="177"/>
      <c r="FK31" s="177"/>
      <c r="FL31" s="177"/>
      <c r="FM31" s="177"/>
      <c r="FN31" s="177"/>
      <c r="FO31" s="177"/>
      <c r="FP31" s="177"/>
      <c r="FQ31" s="177"/>
      <c r="FR31" s="177"/>
      <c r="FS31" s="177"/>
      <c r="FT31" s="177"/>
      <c r="FU31" s="177"/>
      <c r="FV31" s="177"/>
      <c r="FW31" s="177"/>
      <c r="FX31" s="177"/>
      <c r="FY31" s="177"/>
      <c r="FZ31" s="177"/>
      <c r="GA31" s="177"/>
      <c r="GB31" s="177"/>
      <c r="GC31" s="177"/>
      <c r="GD31" s="177"/>
      <c r="GE31" s="177"/>
      <c r="GF31" s="177"/>
      <c r="GG31" s="177"/>
      <c r="GH31" s="177"/>
      <c r="GI31" s="177"/>
      <c r="GJ31" s="177"/>
      <c r="GK31" s="177"/>
      <c r="GL31" s="177"/>
      <c r="GM31" s="177"/>
      <c r="GN31" s="177"/>
      <c r="GO31" s="177"/>
      <c r="GP31" s="177"/>
      <c r="GQ31" s="177"/>
      <c r="GR31" s="177"/>
      <c r="GS31" s="177"/>
      <c r="GT31" s="177"/>
      <c r="GU31" s="177"/>
      <c r="GV31" s="177"/>
      <c r="GW31" s="177"/>
      <c r="GX31" s="177"/>
      <c r="GY31" s="177"/>
      <c r="GZ31" s="177"/>
      <c r="HA31" s="177"/>
      <c r="HB31" s="177"/>
      <c r="HC31" s="177"/>
      <c r="HD31" s="177"/>
      <c r="HE31" s="177"/>
      <c r="HF31" s="177"/>
      <c r="HG31" s="177"/>
      <c r="HH31" s="177"/>
      <c r="HI31" s="177"/>
      <c r="HJ31" s="177"/>
      <c r="HK31" s="177"/>
      <c r="HL31" s="177"/>
      <c r="HM31" s="177"/>
      <c r="HN31" s="177"/>
      <c r="HO31" s="177"/>
      <c r="HP31" s="177"/>
      <c r="HQ31" s="177"/>
      <c r="HR31" s="177"/>
      <c r="HS31" s="177"/>
      <c r="HT31" s="177"/>
      <c r="HU31" s="177"/>
      <c r="HV31" s="177"/>
      <c r="HW31" s="177"/>
      <c r="HX31" s="177"/>
      <c r="HY31" s="177"/>
      <c r="HZ31" s="177"/>
      <c r="IA31" s="177"/>
      <c r="IB31" s="177"/>
      <c r="IC31" s="177"/>
      <c r="ID31" s="177"/>
      <c r="IE31" s="177"/>
      <c r="IF31" s="177"/>
      <c r="IG31" s="177"/>
      <c r="IH31" s="177"/>
      <c r="II31" s="177"/>
      <c r="IJ31" s="177"/>
      <c r="IK31" s="177"/>
      <c r="IL31" s="177"/>
      <c r="IM31" s="177"/>
      <c r="IN31" s="177"/>
      <c r="IO31" s="177"/>
      <c r="IP31" s="177"/>
      <c r="IQ31" s="177"/>
      <c r="IR31" s="177"/>
      <c r="IS31" s="177"/>
      <c r="IT31" s="177"/>
      <c r="IU31" s="177"/>
      <c r="IV31" s="177"/>
      <c r="IW31" s="177"/>
      <c r="IX31" s="177"/>
      <c r="IY31" s="177"/>
      <c r="IZ31" s="177"/>
      <c r="JA31" s="177"/>
      <c r="JB31" s="177"/>
      <c r="JC31" s="177"/>
      <c r="JD31" s="177"/>
      <c r="JE31" s="177"/>
      <c r="JF31" s="177"/>
      <c r="JG31" s="177"/>
      <c r="JH31" s="177"/>
      <c r="JI31" s="177"/>
      <c r="JJ31" s="177"/>
      <c r="JK31" s="177"/>
      <c r="JL31" s="177"/>
      <c r="JM31" s="177"/>
      <c r="JN31" s="177"/>
      <c r="JO31" s="177"/>
      <c r="JP31" s="177"/>
      <c r="JQ31" s="177"/>
      <c r="JR31" s="177"/>
    </row>
    <row r="32" s="178" customFormat="true" ht="21" hidden="false" customHeight="true" outlineLevel="0" collapsed="false">
      <c r="A32" s="144" t="s">
        <v>1096</v>
      </c>
      <c r="B32" s="145" t="s">
        <v>1159</v>
      </c>
      <c r="C32" s="144" t="s">
        <v>1160</v>
      </c>
      <c r="D32" s="144" t="s">
        <v>1161</v>
      </c>
      <c r="E32" s="146"/>
      <c r="F32" s="146"/>
      <c r="G32" s="146"/>
      <c r="H32" s="146"/>
      <c r="I32" s="146"/>
      <c r="J32" s="179"/>
      <c r="K32" s="179"/>
      <c r="L32" s="179"/>
      <c r="M32" s="179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7"/>
      <c r="BB32" s="177"/>
      <c r="BC32" s="177"/>
      <c r="BD32" s="177"/>
      <c r="BE32" s="177"/>
      <c r="BF32" s="177"/>
      <c r="BG32" s="177"/>
      <c r="BH32" s="177"/>
      <c r="BI32" s="177"/>
      <c r="BJ32" s="177"/>
      <c r="BK32" s="177"/>
      <c r="BL32" s="177"/>
      <c r="BM32" s="177"/>
      <c r="BN32" s="177"/>
      <c r="BO32" s="177"/>
      <c r="BP32" s="177"/>
      <c r="BQ32" s="177"/>
      <c r="BR32" s="177"/>
      <c r="BS32" s="177"/>
      <c r="BT32" s="177"/>
      <c r="BU32" s="177"/>
      <c r="BV32" s="177"/>
      <c r="BW32" s="177"/>
      <c r="BX32" s="177"/>
      <c r="BY32" s="177"/>
      <c r="BZ32" s="177"/>
      <c r="CA32" s="177"/>
      <c r="CB32" s="177"/>
      <c r="CC32" s="177"/>
      <c r="CD32" s="177"/>
      <c r="CE32" s="177"/>
      <c r="CF32" s="177"/>
      <c r="CG32" s="177"/>
      <c r="CH32" s="177"/>
      <c r="CI32" s="177"/>
      <c r="CJ32" s="177"/>
      <c r="CK32" s="177"/>
      <c r="CL32" s="177"/>
      <c r="CM32" s="177"/>
      <c r="CN32" s="177"/>
      <c r="CO32" s="177"/>
      <c r="CP32" s="177"/>
      <c r="CQ32" s="177"/>
      <c r="CR32" s="177"/>
      <c r="CS32" s="177"/>
      <c r="CT32" s="177"/>
      <c r="CU32" s="177"/>
      <c r="CV32" s="177"/>
      <c r="CW32" s="177"/>
      <c r="CX32" s="177"/>
      <c r="CY32" s="177"/>
      <c r="CZ32" s="177"/>
      <c r="DA32" s="177"/>
      <c r="DB32" s="177"/>
      <c r="DC32" s="177"/>
      <c r="DD32" s="177"/>
      <c r="DE32" s="177"/>
      <c r="DF32" s="177"/>
      <c r="DG32" s="177"/>
      <c r="DH32" s="177"/>
      <c r="DI32" s="177"/>
      <c r="DJ32" s="177"/>
      <c r="DK32" s="177"/>
      <c r="DL32" s="177"/>
      <c r="DM32" s="177"/>
      <c r="DN32" s="177"/>
      <c r="DO32" s="177"/>
      <c r="DP32" s="177"/>
      <c r="DQ32" s="177"/>
      <c r="DR32" s="177"/>
      <c r="DS32" s="177"/>
      <c r="DT32" s="177"/>
      <c r="DU32" s="177"/>
      <c r="DV32" s="177"/>
      <c r="DW32" s="177"/>
      <c r="DX32" s="177"/>
      <c r="DY32" s="177"/>
      <c r="DZ32" s="177"/>
      <c r="EA32" s="177"/>
      <c r="EB32" s="177"/>
      <c r="EC32" s="177"/>
      <c r="ED32" s="177"/>
      <c r="EE32" s="177"/>
      <c r="EF32" s="177"/>
      <c r="EG32" s="177"/>
      <c r="EH32" s="177"/>
      <c r="EI32" s="177"/>
      <c r="EJ32" s="177"/>
      <c r="EK32" s="177"/>
      <c r="EL32" s="177"/>
      <c r="EM32" s="177"/>
      <c r="EN32" s="177"/>
      <c r="EO32" s="177"/>
      <c r="EP32" s="177"/>
      <c r="EQ32" s="177"/>
      <c r="ER32" s="177"/>
      <c r="ES32" s="177"/>
      <c r="ET32" s="177"/>
      <c r="EU32" s="177"/>
      <c r="EV32" s="177"/>
      <c r="EW32" s="177"/>
      <c r="EX32" s="177"/>
      <c r="EY32" s="177"/>
      <c r="EZ32" s="177"/>
      <c r="FA32" s="177"/>
      <c r="FB32" s="177"/>
      <c r="FC32" s="177"/>
      <c r="FD32" s="177"/>
      <c r="FE32" s="177"/>
      <c r="FF32" s="177"/>
      <c r="FG32" s="177"/>
      <c r="FH32" s="177"/>
      <c r="FI32" s="177"/>
      <c r="FJ32" s="177"/>
      <c r="FK32" s="177"/>
      <c r="FL32" s="177"/>
      <c r="FM32" s="177"/>
      <c r="FN32" s="177"/>
      <c r="FO32" s="177"/>
      <c r="FP32" s="177"/>
      <c r="FQ32" s="177"/>
      <c r="FR32" s="177"/>
      <c r="FS32" s="177"/>
      <c r="FT32" s="177"/>
      <c r="FU32" s="177"/>
      <c r="FV32" s="177"/>
      <c r="FW32" s="177"/>
      <c r="FX32" s="177"/>
      <c r="FY32" s="177"/>
      <c r="FZ32" s="177"/>
      <c r="GA32" s="177"/>
      <c r="GB32" s="177"/>
      <c r="GC32" s="177"/>
      <c r="GD32" s="177"/>
      <c r="GE32" s="177"/>
      <c r="GF32" s="177"/>
      <c r="GG32" s="177"/>
      <c r="GH32" s="177"/>
      <c r="GI32" s="177"/>
      <c r="GJ32" s="177"/>
      <c r="GK32" s="177"/>
      <c r="GL32" s="177"/>
      <c r="GM32" s="177"/>
      <c r="GN32" s="177"/>
      <c r="GO32" s="177"/>
      <c r="GP32" s="177"/>
      <c r="GQ32" s="177"/>
      <c r="GR32" s="177"/>
      <c r="GS32" s="177"/>
      <c r="GT32" s="177"/>
      <c r="GU32" s="177"/>
      <c r="GV32" s="177"/>
      <c r="GW32" s="177"/>
      <c r="GX32" s="177"/>
      <c r="GY32" s="177"/>
      <c r="GZ32" s="177"/>
      <c r="HA32" s="177"/>
      <c r="HB32" s="177"/>
      <c r="HC32" s="177"/>
      <c r="HD32" s="177"/>
      <c r="HE32" s="177"/>
      <c r="HF32" s="177"/>
      <c r="HG32" s="177"/>
      <c r="HH32" s="177"/>
      <c r="HI32" s="177"/>
      <c r="HJ32" s="177"/>
      <c r="HK32" s="177"/>
      <c r="HL32" s="177"/>
      <c r="HM32" s="177"/>
      <c r="HN32" s="177"/>
      <c r="HO32" s="177"/>
      <c r="HP32" s="177"/>
      <c r="HQ32" s="177"/>
      <c r="HR32" s="177"/>
      <c r="HS32" s="177"/>
      <c r="HT32" s="177"/>
      <c r="HU32" s="177"/>
      <c r="HV32" s="177"/>
      <c r="HW32" s="177"/>
      <c r="HX32" s="177"/>
      <c r="HY32" s="177"/>
      <c r="HZ32" s="177"/>
      <c r="IA32" s="177"/>
      <c r="IB32" s="177"/>
      <c r="IC32" s="177"/>
      <c r="ID32" s="177"/>
      <c r="IE32" s="177"/>
      <c r="IF32" s="177"/>
      <c r="IG32" s="177"/>
      <c r="IH32" s="177"/>
      <c r="II32" s="177"/>
      <c r="IJ32" s="177"/>
      <c r="IK32" s="177"/>
      <c r="IL32" s="177"/>
      <c r="IM32" s="177"/>
      <c r="IN32" s="177"/>
      <c r="IO32" s="177"/>
      <c r="IP32" s="177"/>
      <c r="IQ32" s="177"/>
      <c r="IR32" s="177"/>
      <c r="IS32" s="177"/>
      <c r="IT32" s="177"/>
      <c r="IU32" s="177"/>
      <c r="IV32" s="177"/>
      <c r="IW32" s="177"/>
      <c r="IX32" s="177"/>
      <c r="IY32" s="177"/>
      <c r="IZ32" s="177"/>
      <c r="JA32" s="177"/>
      <c r="JB32" s="177"/>
      <c r="JC32" s="177"/>
      <c r="JD32" s="177"/>
      <c r="JE32" s="177"/>
      <c r="JF32" s="177"/>
      <c r="JG32" s="177"/>
      <c r="JH32" s="177"/>
      <c r="JI32" s="177"/>
      <c r="JJ32" s="177"/>
      <c r="JK32" s="177"/>
      <c r="JL32" s="177"/>
      <c r="JM32" s="177"/>
      <c r="JN32" s="177"/>
      <c r="JO32" s="177"/>
      <c r="JP32" s="177"/>
      <c r="JQ32" s="177"/>
      <c r="JR32" s="177"/>
    </row>
    <row r="33" s="178" customFormat="true" ht="21" hidden="false" customHeight="true" outlineLevel="0" collapsed="false">
      <c r="A33" s="139" t="s">
        <v>949</v>
      </c>
      <c r="B33" s="140" t="s">
        <v>1162</v>
      </c>
      <c r="C33" s="139" t="s">
        <v>1163</v>
      </c>
      <c r="D33" s="139" t="s">
        <v>1164</v>
      </c>
      <c r="E33" s="141"/>
      <c r="F33" s="141"/>
      <c r="G33" s="141"/>
      <c r="H33" s="141"/>
      <c r="I33" s="141"/>
      <c r="J33" s="176"/>
      <c r="K33" s="176"/>
      <c r="L33" s="176"/>
      <c r="M33" s="176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7"/>
      <c r="CD33" s="177"/>
      <c r="CE33" s="177"/>
      <c r="CF33" s="177"/>
      <c r="CG33" s="177"/>
      <c r="CH33" s="177"/>
      <c r="CI33" s="177"/>
      <c r="CJ33" s="177"/>
      <c r="CK33" s="177"/>
      <c r="CL33" s="177"/>
      <c r="CM33" s="177"/>
      <c r="CN33" s="177"/>
      <c r="CO33" s="177"/>
      <c r="CP33" s="177"/>
      <c r="CQ33" s="177"/>
      <c r="CR33" s="177"/>
      <c r="CS33" s="177"/>
      <c r="CT33" s="177"/>
      <c r="CU33" s="177"/>
      <c r="CV33" s="177"/>
      <c r="CW33" s="177"/>
      <c r="CX33" s="177"/>
      <c r="CY33" s="177"/>
      <c r="CZ33" s="177"/>
      <c r="DA33" s="177"/>
      <c r="DB33" s="177"/>
      <c r="DC33" s="177"/>
      <c r="DD33" s="177"/>
      <c r="DE33" s="177"/>
      <c r="DF33" s="177"/>
      <c r="DG33" s="177"/>
      <c r="DH33" s="177"/>
      <c r="DI33" s="177"/>
      <c r="DJ33" s="177"/>
      <c r="DK33" s="177"/>
      <c r="DL33" s="177"/>
      <c r="DM33" s="177"/>
      <c r="DN33" s="177"/>
      <c r="DO33" s="177"/>
      <c r="DP33" s="177"/>
      <c r="DQ33" s="177"/>
      <c r="DR33" s="177"/>
      <c r="DS33" s="177"/>
      <c r="DT33" s="177"/>
      <c r="DU33" s="177"/>
      <c r="DV33" s="177"/>
      <c r="DW33" s="177"/>
      <c r="DX33" s="177"/>
      <c r="DY33" s="177"/>
      <c r="DZ33" s="177"/>
      <c r="EA33" s="177"/>
      <c r="EB33" s="177"/>
      <c r="EC33" s="177"/>
      <c r="ED33" s="177"/>
      <c r="EE33" s="177"/>
      <c r="EF33" s="177"/>
      <c r="EG33" s="177"/>
      <c r="EH33" s="177"/>
      <c r="EI33" s="177"/>
      <c r="EJ33" s="177"/>
      <c r="EK33" s="177"/>
      <c r="EL33" s="177"/>
      <c r="EM33" s="177"/>
      <c r="EN33" s="177"/>
      <c r="EO33" s="177"/>
      <c r="EP33" s="177"/>
      <c r="EQ33" s="177"/>
      <c r="ER33" s="177"/>
      <c r="ES33" s="177"/>
      <c r="ET33" s="177"/>
      <c r="EU33" s="177"/>
      <c r="EV33" s="177"/>
      <c r="EW33" s="177"/>
      <c r="EX33" s="177"/>
      <c r="EY33" s="177"/>
      <c r="EZ33" s="177"/>
      <c r="FA33" s="177"/>
      <c r="FB33" s="177"/>
      <c r="FC33" s="177"/>
      <c r="FD33" s="177"/>
      <c r="FE33" s="177"/>
      <c r="FF33" s="177"/>
      <c r="FG33" s="177"/>
      <c r="FH33" s="177"/>
      <c r="FI33" s="177"/>
      <c r="FJ33" s="177"/>
      <c r="FK33" s="177"/>
      <c r="FL33" s="177"/>
      <c r="FM33" s="177"/>
      <c r="FN33" s="177"/>
      <c r="FO33" s="177"/>
      <c r="FP33" s="177"/>
      <c r="FQ33" s="177"/>
      <c r="FR33" s="177"/>
      <c r="FS33" s="177"/>
      <c r="FT33" s="177"/>
      <c r="FU33" s="177"/>
      <c r="FV33" s="177"/>
      <c r="FW33" s="177"/>
      <c r="FX33" s="177"/>
      <c r="FY33" s="177"/>
      <c r="FZ33" s="177"/>
      <c r="GA33" s="177"/>
      <c r="GB33" s="177"/>
      <c r="GC33" s="177"/>
      <c r="GD33" s="177"/>
      <c r="GE33" s="177"/>
      <c r="GF33" s="177"/>
      <c r="GG33" s="177"/>
      <c r="GH33" s="177"/>
      <c r="GI33" s="177"/>
      <c r="GJ33" s="177"/>
      <c r="GK33" s="177"/>
      <c r="GL33" s="177"/>
      <c r="GM33" s="177"/>
      <c r="GN33" s="177"/>
      <c r="GO33" s="177"/>
      <c r="GP33" s="177"/>
      <c r="GQ33" s="177"/>
      <c r="GR33" s="177"/>
      <c r="GS33" s="177"/>
      <c r="GT33" s="177"/>
      <c r="GU33" s="177"/>
      <c r="GV33" s="177"/>
      <c r="GW33" s="177"/>
      <c r="GX33" s="177"/>
      <c r="GY33" s="177"/>
      <c r="GZ33" s="177"/>
      <c r="HA33" s="177"/>
      <c r="HB33" s="177"/>
      <c r="HC33" s="177"/>
      <c r="HD33" s="177"/>
      <c r="HE33" s="177"/>
      <c r="HF33" s="177"/>
      <c r="HG33" s="177"/>
      <c r="HH33" s="177"/>
      <c r="HI33" s="177"/>
      <c r="HJ33" s="177"/>
      <c r="HK33" s="177"/>
      <c r="HL33" s="177"/>
      <c r="HM33" s="177"/>
      <c r="HN33" s="177"/>
      <c r="HO33" s="177"/>
      <c r="HP33" s="177"/>
      <c r="HQ33" s="177"/>
      <c r="HR33" s="177"/>
      <c r="HS33" s="177"/>
      <c r="HT33" s="177"/>
      <c r="HU33" s="177"/>
      <c r="HV33" s="177"/>
      <c r="HW33" s="177"/>
      <c r="HX33" s="177"/>
      <c r="HY33" s="177"/>
      <c r="HZ33" s="177"/>
      <c r="IA33" s="177"/>
      <c r="IB33" s="177"/>
      <c r="IC33" s="177"/>
      <c r="ID33" s="177"/>
      <c r="IE33" s="177"/>
      <c r="IF33" s="177"/>
      <c r="IG33" s="177"/>
      <c r="IH33" s="177"/>
      <c r="II33" s="177"/>
      <c r="IJ33" s="177"/>
      <c r="IK33" s="177"/>
      <c r="IL33" s="177"/>
      <c r="IM33" s="177"/>
      <c r="IN33" s="177"/>
      <c r="IO33" s="177"/>
      <c r="IP33" s="177"/>
      <c r="IQ33" s="177"/>
      <c r="IR33" s="177"/>
      <c r="IS33" s="177"/>
      <c r="IT33" s="177"/>
      <c r="IU33" s="177"/>
      <c r="IV33" s="177"/>
      <c r="IW33" s="177"/>
      <c r="IX33" s="177"/>
      <c r="IY33" s="177"/>
      <c r="IZ33" s="177"/>
      <c r="JA33" s="177"/>
      <c r="JB33" s="177"/>
      <c r="JC33" s="177"/>
      <c r="JD33" s="177"/>
      <c r="JE33" s="177"/>
      <c r="JF33" s="177"/>
      <c r="JG33" s="177"/>
      <c r="JH33" s="177"/>
      <c r="JI33" s="177"/>
      <c r="JJ33" s="177"/>
      <c r="JK33" s="177"/>
      <c r="JL33" s="177"/>
      <c r="JM33" s="177"/>
      <c r="JN33" s="177"/>
      <c r="JO33" s="177"/>
      <c r="JP33" s="177"/>
      <c r="JQ33" s="177"/>
      <c r="JR33" s="177"/>
    </row>
    <row r="34" s="178" customFormat="true" ht="21" hidden="false" customHeight="true" outlineLevel="0" collapsed="false">
      <c r="A34" s="144" t="s">
        <v>1096</v>
      </c>
      <c r="B34" s="145" t="s">
        <v>1165</v>
      </c>
      <c r="C34" s="144" t="s">
        <v>1166</v>
      </c>
      <c r="D34" s="144" t="s">
        <v>1167</v>
      </c>
      <c r="E34" s="146"/>
      <c r="F34" s="146"/>
      <c r="G34" s="146"/>
      <c r="H34" s="146"/>
      <c r="I34" s="146"/>
      <c r="J34" s="179"/>
      <c r="K34" s="179"/>
      <c r="L34" s="179"/>
      <c r="M34" s="179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7"/>
      <c r="BA34" s="177"/>
      <c r="BB34" s="177"/>
      <c r="BC34" s="177"/>
      <c r="BD34" s="177"/>
      <c r="BE34" s="177"/>
      <c r="BF34" s="177"/>
      <c r="BG34" s="177"/>
      <c r="BH34" s="177"/>
      <c r="BI34" s="177"/>
      <c r="BJ34" s="177"/>
      <c r="BK34" s="17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177"/>
      <c r="BY34" s="177"/>
      <c r="BZ34" s="177"/>
      <c r="CA34" s="177"/>
      <c r="CB34" s="177"/>
      <c r="CC34" s="177"/>
      <c r="CD34" s="177"/>
      <c r="CE34" s="177"/>
      <c r="CF34" s="177"/>
      <c r="CG34" s="177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7"/>
      <c r="CS34" s="177"/>
      <c r="CT34" s="177"/>
      <c r="CU34" s="177"/>
      <c r="CV34" s="177"/>
      <c r="CW34" s="177"/>
      <c r="CX34" s="177"/>
      <c r="CY34" s="177"/>
      <c r="CZ34" s="177"/>
      <c r="DA34" s="177"/>
      <c r="DB34" s="177"/>
      <c r="DC34" s="177"/>
      <c r="DD34" s="177"/>
      <c r="DE34" s="177"/>
      <c r="DF34" s="177"/>
      <c r="DG34" s="177"/>
      <c r="DH34" s="177"/>
      <c r="DI34" s="177"/>
      <c r="DJ34" s="177"/>
      <c r="DK34" s="177"/>
      <c r="DL34" s="177"/>
      <c r="DM34" s="177"/>
      <c r="DN34" s="177"/>
      <c r="DO34" s="177"/>
      <c r="DP34" s="177"/>
      <c r="DQ34" s="177"/>
      <c r="DR34" s="177"/>
      <c r="DS34" s="177"/>
      <c r="DT34" s="177"/>
      <c r="DU34" s="177"/>
      <c r="DV34" s="177"/>
      <c r="DW34" s="177"/>
      <c r="DX34" s="177"/>
      <c r="DY34" s="177"/>
      <c r="DZ34" s="177"/>
      <c r="EA34" s="177"/>
      <c r="EB34" s="177"/>
      <c r="EC34" s="177"/>
      <c r="ED34" s="177"/>
      <c r="EE34" s="177"/>
      <c r="EF34" s="177"/>
      <c r="EG34" s="177"/>
      <c r="EH34" s="177"/>
      <c r="EI34" s="177"/>
      <c r="EJ34" s="177"/>
      <c r="EK34" s="177"/>
      <c r="EL34" s="177"/>
      <c r="EM34" s="177"/>
      <c r="EN34" s="177"/>
      <c r="EO34" s="177"/>
      <c r="EP34" s="177"/>
      <c r="EQ34" s="177"/>
      <c r="ER34" s="177"/>
      <c r="ES34" s="177"/>
      <c r="ET34" s="177"/>
      <c r="EU34" s="177"/>
      <c r="EV34" s="177"/>
      <c r="EW34" s="177"/>
      <c r="EX34" s="177"/>
      <c r="EY34" s="177"/>
      <c r="EZ34" s="177"/>
      <c r="FA34" s="177"/>
      <c r="FB34" s="177"/>
      <c r="FC34" s="177"/>
      <c r="FD34" s="177"/>
      <c r="FE34" s="177"/>
      <c r="FF34" s="177"/>
      <c r="FG34" s="177"/>
      <c r="FH34" s="177"/>
      <c r="FI34" s="177"/>
      <c r="FJ34" s="177"/>
      <c r="FK34" s="177"/>
      <c r="FL34" s="177"/>
      <c r="FM34" s="177"/>
      <c r="FN34" s="177"/>
      <c r="FO34" s="177"/>
      <c r="FP34" s="177"/>
      <c r="FQ34" s="177"/>
      <c r="FR34" s="177"/>
      <c r="FS34" s="177"/>
      <c r="FT34" s="177"/>
      <c r="FU34" s="177"/>
      <c r="FV34" s="177"/>
      <c r="FW34" s="177"/>
      <c r="FX34" s="177"/>
      <c r="FY34" s="177"/>
      <c r="FZ34" s="177"/>
      <c r="GA34" s="177"/>
      <c r="GB34" s="177"/>
      <c r="GC34" s="177"/>
      <c r="GD34" s="177"/>
      <c r="GE34" s="177"/>
      <c r="GF34" s="177"/>
      <c r="GG34" s="177"/>
      <c r="GH34" s="177"/>
      <c r="GI34" s="177"/>
      <c r="GJ34" s="177"/>
      <c r="GK34" s="177"/>
      <c r="GL34" s="177"/>
      <c r="GM34" s="177"/>
      <c r="GN34" s="177"/>
      <c r="GO34" s="177"/>
      <c r="GP34" s="177"/>
      <c r="GQ34" s="177"/>
      <c r="GR34" s="177"/>
      <c r="GS34" s="177"/>
      <c r="GT34" s="177"/>
      <c r="GU34" s="177"/>
      <c r="GV34" s="177"/>
      <c r="GW34" s="177"/>
      <c r="GX34" s="177"/>
      <c r="GY34" s="177"/>
      <c r="GZ34" s="177"/>
      <c r="HA34" s="177"/>
      <c r="HB34" s="177"/>
      <c r="HC34" s="177"/>
      <c r="HD34" s="177"/>
      <c r="HE34" s="177"/>
      <c r="HF34" s="177"/>
      <c r="HG34" s="177"/>
      <c r="HH34" s="177"/>
      <c r="HI34" s="177"/>
      <c r="HJ34" s="177"/>
      <c r="HK34" s="177"/>
      <c r="HL34" s="177"/>
      <c r="HM34" s="177"/>
      <c r="HN34" s="177"/>
      <c r="HO34" s="177"/>
      <c r="HP34" s="177"/>
      <c r="HQ34" s="177"/>
      <c r="HR34" s="177"/>
      <c r="HS34" s="177"/>
      <c r="HT34" s="177"/>
      <c r="HU34" s="177"/>
      <c r="HV34" s="177"/>
      <c r="HW34" s="177"/>
      <c r="HX34" s="177"/>
      <c r="HY34" s="177"/>
      <c r="HZ34" s="177"/>
      <c r="IA34" s="177"/>
      <c r="IB34" s="177"/>
      <c r="IC34" s="177"/>
      <c r="ID34" s="177"/>
      <c r="IE34" s="177"/>
      <c r="IF34" s="177"/>
      <c r="IG34" s="177"/>
      <c r="IH34" s="177"/>
      <c r="II34" s="177"/>
      <c r="IJ34" s="177"/>
      <c r="IK34" s="177"/>
      <c r="IL34" s="177"/>
      <c r="IM34" s="177"/>
      <c r="IN34" s="177"/>
      <c r="IO34" s="177"/>
      <c r="IP34" s="177"/>
      <c r="IQ34" s="177"/>
      <c r="IR34" s="177"/>
      <c r="IS34" s="177"/>
      <c r="IT34" s="177"/>
      <c r="IU34" s="177"/>
      <c r="IV34" s="177"/>
      <c r="IW34" s="177"/>
      <c r="IX34" s="177"/>
      <c r="IY34" s="177"/>
      <c r="IZ34" s="177"/>
      <c r="JA34" s="177"/>
      <c r="JB34" s="177"/>
      <c r="JC34" s="177"/>
      <c r="JD34" s="177"/>
      <c r="JE34" s="177"/>
      <c r="JF34" s="177"/>
      <c r="JG34" s="177"/>
      <c r="JH34" s="177"/>
      <c r="JI34" s="177"/>
      <c r="JJ34" s="177"/>
      <c r="JK34" s="177"/>
      <c r="JL34" s="177"/>
      <c r="JM34" s="177"/>
      <c r="JN34" s="177"/>
      <c r="JO34" s="177"/>
      <c r="JP34" s="177"/>
      <c r="JQ34" s="177"/>
      <c r="JR34" s="177"/>
    </row>
    <row r="35" s="178" customFormat="true" ht="21" hidden="false" customHeight="true" outlineLevel="0" collapsed="false">
      <c r="A35" s="139" t="s">
        <v>1096</v>
      </c>
      <c r="B35" s="140" t="s">
        <v>1168</v>
      </c>
      <c r="C35" s="139" t="s">
        <v>1169</v>
      </c>
      <c r="D35" s="139" t="s">
        <v>1170</v>
      </c>
      <c r="E35" s="141"/>
      <c r="F35" s="141"/>
      <c r="G35" s="141"/>
      <c r="H35" s="141"/>
      <c r="I35" s="141"/>
      <c r="J35" s="176"/>
      <c r="K35" s="176"/>
      <c r="L35" s="176"/>
      <c r="M35" s="176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  <c r="BO35" s="177"/>
      <c r="BP35" s="177"/>
      <c r="BQ35" s="177"/>
      <c r="BR35" s="177"/>
      <c r="BS35" s="177"/>
      <c r="BT35" s="177"/>
      <c r="BU35" s="177"/>
      <c r="BV35" s="177"/>
      <c r="BW35" s="177"/>
      <c r="BX35" s="177"/>
      <c r="BY35" s="177"/>
      <c r="BZ35" s="177"/>
      <c r="CA35" s="177"/>
      <c r="CB35" s="177"/>
      <c r="CC35" s="177"/>
      <c r="CD35" s="177"/>
      <c r="CE35" s="177"/>
      <c r="CF35" s="177"/>
      <c r="CG35" s="177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7"/>
      <c r="CS35" s="177"/>
      <c r="CT35" s="177"/>
      <c r="CU35" s="177"/>
      <c r="CV35" s="177"/>
      <c r="CW35" s="177"/>
      <c r="CX35" s="177"/>
      <c r="CY35" s="177"/>
      <c r="CZ35" s="177"/>
      <c r="DA35" s="177"/>
      <c r="DB35" s="177"/>
      <c r="DC35" s="177"/>
      <c r="DD35" s="177"/>
      <c r="DE35" s="177"/>
      <c r="DF35" s="177"/>
      <c r="DG35" s="177"/>
      <c r="DH35" s="177"/>
      <c r="DI35" s="177"/>
      <c r="DJ35" s="177"/>
      <c r="DK35" s="177"/>
      <c r="DL35" s="177"/>
      <c r="DM35" s="177"/>
      <c r="DN35" s="177"/>
      <c r="DO35" s="177"/>
      <c r="DP35" s="177"/>
      <c r="DQ35" s="177"/>
      <c r="DR35" s="177"/>
      <c r="DS35" s="177"/>
      <c r="DT35" s="177"/>
      <c r="DU35" s="177"/>
      <c r="DV35" s="177"/>
      <c r="DW35" s="177"/>
      <c r="DX35" s="177"/>
      <c r="DY35" s="177"/>
      <c r="DZ35" s="177"/>
      <c r="EA35" s="177"/>
      <c r="EB35" s="177"/>
      <c r="EC35" s="177"/>
      <c r="ED35" s="177"/>
      <c r="EE35" s="177"/>
      <c r="EF35" s="177"/>
      <c r="EG35" s="177"/>
      <c r="EH35" s="177"/>
      <c r="EI35" s="177"/>
      <c r="EJ35" s="177"/>
      <c r="EK35" s="177"/>
      <c r="EL35" s="177"/>
      <c r="EM35" s="177"/>
      <c r="EN35" s="177"/>
      <c r="EO35" s="177"/>
      <c r="EP35" s="177"/>
      <c r="EQ35" s="177"/>
      <c r="ER35" s="177"/>
      <c r="ES35" s="177"/>
      <c r="ET35" s="177"/>
      <c r="EU35" s="177"/>
      <c r="EV35" s="177"/>
      <c r="EW35" s="177"/>
      <c r="EX35" s="177"/>
      <c r="EY35" s="177"/>
      <c r="EZ35" s="177"/>
      <c r="FA35" s="177"/>
      <c r="FB35" s="177"/>
      <c r="FC35" s="177"/>
      <c r="FD35" s="177"/>
      <c r="FE35" s="177"/>
      <c r="FF35" s="177"/>
      <c r="FG35" s="177"/>
      <c r="FH35" s="177"/>
      <c r="FI35" s="177"/>
      <c r="FJ35" s="177"/>
      <c r="FK35" s="177"/>
      <c r="FL35" s="177"/>
      <c r="FM35" s="177"/>
      <c r="FN35" s="177"/>
      <c r="FO35" s="177"/>
      <c r="FP35" s="177"/>
      <c r="FQ35" s="177"/>
      <c r="FR35" s="177"/>
      <c r="FS35" s="177"/>
      <c r="FT35" s="177"/>
      <c r="FU35" s="177"/>
      <c r="FV35" s="177"/>
      <c r="FW35" s="177"/>
      <c r="FX35" s="177"/>
      <c r="FY35" s="177"/>
      <c r="FZ35" s="177"/>
      <c r="GA35" s="177"/>
      <c r="GB35" s="177"/>
      <c r="GC35" s="177"/>
      <c r="GD35" s="177"/>
      <c r="GE35" s="177"/>
      <c r="GF35" s="177"/>
      <c r="GG35" s="177"/>
      <c r="GH35" s="177"/>
      <c r="GI35" s="177"/>
      <c r="GJ35" s="177"/>
      <c r="GK35" s="177"/>
      <c r="GL35" s="177"/>
      <c r="GM35" s="177"/>
      <c r="GN35" s="177"/>
      <c r="GO35" s="177"/>
      <c r="GP35" s="177"/>
      <c r="GQ35" s="177"/>
      <c r="GR35" s="177"/>
      <c r="GS35" s="177"/>
      <c r="GT35" s="177"/>
      <c r="GU35" s="177"/>
      <c r="GV35" s="177"/>
      <c r="GW35" s="177"/>
      <c r="GX35" s="177"/>
      <c r="GY35" s="177"/>
      <c r="GZ35" s="177"/>
      <c r="HA35" s="177"/>
      <c r="HB35" s="177"/>
      <c r="HC35" s="177"/>
      <c r="HD35" s="177"/>
      <c r="HE35" s="177"/>
      <c r="HF35" s="177"/>
      <c r="HG35" s="177"/>
      <c r="HH35" s="177"/>
      <c r="HI35" s="177"/>
      <c r="HJ35" s="177"/>
      <c r="HK35" s="177"/>
      <c r="HL35" s="177"/>
      <c r="HM35" s="177"/>
      <c r="HN35" s="177"/>
      <c r="HO35" s="177"/>
      <c r="HP35" s="177"/>
      <c r="HQ35" s="177"/>
      <c r="HR35" s="177"/>
      <c r="HS35" s="177"/>
      <c r="HT35" s="177"/>
      <c r="HU35" s="177"/>
      <c r="HV35" s="177"/>
      <c r="HW35" s="177"/>
      <c r="HX35" s="177"/>
      <c r="HY35" s="177"/>
      <c r="HZ35" s="177"/>
      <c r="IA35" s="177"/>
      <c r="IB35" s="177"/>
      <c r="IC35" s="177"/>
      <c r="ID35" s="177"/>
      <c r="IE35" s="177"/>
      <c r="IF35" s="177"/>
      <c r="IG35" s="177"/>
      <c r="IH35" s="177"/>
      <c r="II35" s="177"/>
      <c r="IJ35" s="177"/>
      <c r="IK35" s="177"/>
      <c r="IL35" s="177"/>
      <c r="IM35" s="177"/>
      <c r="IN35" s="177"/>
      <c r="IO35" s="177"/>
      <c r="IP35" s="177"/>
      <c r="IQ35" s="177"/>
      <c r="IR35" s="177"/>
      <c r="IS35" s="177"/>
      <c r="IT35" s="177"/>
      <c r="IU35" s="177"/>
      <c r="IV35" s="177"/>
      <c r="IW35" s="177"/>
      <c r="IX35" s="177"/>
      <c r="IY35" s="177"/>
      <c r="IZ35" s="177"/>
      <c r="JA35" s="177"/>
      <c r="JB35" s="177"/>
      <c r="JC35" s="177"/>
      <c r="JD35" s="177"/>
      <c r="JE35" s="177"/>
      <c r="JF35" s="177"/>
      <c r="JG35" s="177"/>
      <c r="JH35" s="177"/>
      <c r="JI35" s="177"/>
      <c r="JJ35" s="177"/>
      <c r="JK35" s="177"/>
      <c r="JL35" s="177"/>
      <c r="JM35" s="177"/>
      <c r="JN35" s="177"/>
      <c r="JO35" s="177"/>
      <c r="JP35" s="177"/>
      <c r="JQ35" s="177"/>
      <c r="JR35" s="177"/>
    </row>
    <row r="36" customFormat="false" ht="21" hidden="false" customHeight="true" outlineLevel="0" collapsed="false">
      <c r="A36" s="144" t="s">
        <v>1096</v>
      </c>
      <c r="B36" s="145" t="s">
        <v>1171</v>
      </c>
      <c r="C36" s="144" t="s">
        <v>1172</v>
      </c>
      <c r="D36" s="144" t="s">
        <v>1173</v>
      </c>
      <c r="E36" s="146"/>
      <c r="F36" s="146"/>
      <c r="G36" s="146"/>
      <c r="H36" s="146"/>
      <c r="I36" s="146"/>
      <c r="J36" s="148"/>
      <c r="K36" s="148"/>
      <c r="L36" s="148"/>
      <c r="M36" s="148"/>
    </row>
    <row r="37" s="178" customFormat="true" ht="21" hidden="false" customHeight="true" outlineLevel="0" collapsed="false">
      <c r="A37" s="139" t="s">
        <v>1096</v>
      </c>
      <c r="B37" s="140" t="s">
        <v>1174</v>
      </c>
      <c r="C37" s="139" t="s">
        <v>1175</v>
      </c>
      <c r="D37" s="139" t="s">
        <v>1176</v>
      </c>
      <c r="E37" s="141"/>
      <c r="F37" s="141"/>
      <c r="G37" s="141"/>
      <c r="H37" s="141"/>
      <c r="I37" s="141"/>
      <c r="J37" s="176"/>
      <c r="K37" s="176"/>
      <c r="L37" s="176"/>
      <c r="M37" s="176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7"/>
      <c r="BV37" s="177"/>
      <c r="BW37" s="177"/>
      <c r="BX37" s="177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7"/>
      <c r="CW37" s="177"/>
      <c r="CX37" s="177"/>
      <c r="CY37" s="177"/>
      <c r="CZ37" s="177"/>
      <c r="DA37" s="177"/>
      <c r="DB37" s="177"/>
      <c r="DC37" s="177"/>
      <c r="DD37" s="177"/>
      <c r="DE37" s="177"/>
      <c r="DF37" s="177"/>
      <c r="DG37" s="177"/>
      <c r="DH37" s="177"/>
      <c r="DI37" s="177"/>
      <c r="DJ37" s="177"/>
      <c r="DK37" s="177"/>
      <c r="DL37" s="177"/>
      <c r="DM37" s="177"/>
      <c r="DN37" s="177"/>
      <c r="DO37" s="177"/>
      <c r="DP37" s="177"/>
      <c r="DQ37" s="177"/>
      <c r="DR37" s="177"/>
      <c r="DS37" s="177"/>
      <c r="DT37" s="177"/>
      <c r="DU37" s="177"/>
      <c r="DV37" s="177"/>
      <c r="DW37" s="177"/>
      <c r="DX37" s="177"/>
      <c r="DY37" s="177"/>
      <c r="DZ37" s="177"/>
      <c r="EA37" s="177"/>
      <c r="EB37" s="177"/>
      <c r="EC37" s="177"/>
      <c r="ED37" s="177"/>
      <c r="EE37" s="177"/>
      <c r="EF37" s="177"/>
      <c r="EG37" s="177"/>
      <c r="EH37" s="177"/>
      <c r="EI37" s="177"/>
      <c r="EJ37" s="177"/>
      <c r="EK37" s="177"/>
      <c r="EL37" s="177"/>
      <c r="EM37" s="177"/>
      <c r="EN37" s="177"/>
      <c r="EO37" s="177"/>
      <c r="EP37" s="177"/>
      <c r="EQ37" s="177"/>
      <c r="ER37" s="177"/>
      <c r="ES37" s="177"/>
      <c r="ET37" s="177"/>
      <c r="EU37" s="177"/>
      <c r="EV37" s="177"/>
      <c r="EW37" s="177"/>
      <c r="EX37" s="177"/>
      <c r="EY37" s="177"/>
      <c r="EZ37" s="177"/>
      <c r="FA37" s="177"/>
      <c r="FB37" s="177"/>
      <c r="FC37" s="177"/>
      <c r="FD37" s="177"/>
      <c r="FE37" s="177"/>
      <c r="FF37" s="177"/>
      <c r="FG37" s="177"/>
      <c r="FH37" s="177"/>
      <c r="FI37" s="177"/>
      <c r="FJ37" s="177"/>
      <c r="FK37" s="177"/>
      <c r="FL37" s="177"/>
      <c r="FM37" s="177"/>
      <c r="FN37" s="177"/>
      <c r="FO37" s="177"/>
      <c r="FP37" s="177"/>
      <c r="FQ37" s="177"/>
      <c r="FR37" s="177"/>
      <c r="FS37" s="177"/>
      <c r="FT37" s="177"/>
      <c r="FU37" s="177"/>
      <c r="FV37" s="177"/>
      <c r="FW37" s="177"/>
      <c r="FX37" s="177"/>
      <c r="FY37" s="177"/>
      <c r="FZ37" s="177"/>
      <c r="GA37" s="177"/>
      <c r="GB37" s="177"/>
      <c r="GC37" s="177"/>
      <c r="GD37" s="177"/>
      <c r="GE37" s="177"/>
      <c r="GF37" s="177"/>
      <c r="GG37" s="177"/>
      <c r="GH37" s="177"/>
      <c r="GI37" s="177"/>
      <c r="GJ37" s="177"/>
      <c r="GK37" s="177"/>
      <c r="GL37" s="177"/>
      <c r="GM37" s="177"/>
      <c r="GN37" s="177"/>
      <c r="GO37" s="177"/>
      <c r="GP37" s="177"/>
      <c r="GQ37" s="177"/>
      <c r="GR37" s="177"/>
      <c r="GS37" s="177"/>
      <c r="GT37" s="177"/>
      <c r="GU37" s="177"/>
      <c r="GV37" s="177"/>
      <c r="GW37" s="177"/>
      <c r="GX37" s="177"/>
      <c r="GY37" s="177"/>
      <c r="GZ37" s="177"/>
      <c r="HA37" s="177"/>
      <c r="HB37" s="177"/>
      <c r="HC37" s="177"/>
      <c r="HD37" s="177"/>
      <c r="HE37" s="177"/>
      <c r="HF37" s="177"/>
      <c r="HG37" s="177"/>
      <c r="HH37" s="177"/>
      <c r="HI37" s="177"/>
      <c r="HJ37" s="177"/>
      <c r="HK37" s="177"/>
      <c r="HL37" s="177"/>
      <c r="HM37" s="177"/>
      <c r="HN37" s="177"/>
      <c r="HO37" s="177"/>
      <c r="HP37" s="177"/>
      <c r="HQ37" s="177"/>
      <c r="HR37" s="177"/>
      <c r="HS37" s="177"/>
      <c r="HT37" s="177"/>
      <c r="HU37" s="177"/>
      <c r="HV37" s="177"/>
      <c r="HW37" s="177"/>
      <c r="HX37" s="177"/>
      <c r="HY37" s="177"/>
      <c r="HZ37" s="177"/>
      <c r="IA37" s="177"/>
      <c r="IB37" s="177"/>
      <c r="IC37" s="177"/>
      <c r="ID37" s="177"/>
      <c r="IE37" s="177"/>
      <c r="IF37" s="177"/>
      <c r="IG37" s="177"/>
      <c r="IH37" s="177"/>
      <c r="II37" s="177"/>
      <c r="IJ37" s="177"/>
      <c r="IK37" s="177"/>
      <c r="IL37" s="177"/>
      <c r="IM37" s="177"/>
      <c r="IN37" s="177"/>
      <c r="IO37" s="177"/>
      <c r="IP37" s="177"/>
      <c r="IQ37" s="177"/>
      <c r="IR37" s="177"/>
      <c r="IS37" s="177"/>
      <c r="IT37" s="177"/>
      <c r="IU37" s="177"/>
      <c r="IV37" s="177"/>
      <c r="IW37" s="177"/>
      <c r="IX37" s="177"/>
      <c r="IY37" s="177"/>
      <c r="IZ37" s="177"/>
      <c r="JA37" s="177"/>
      <c r="JB37" s="177"/>
      <c r="JC37" s="177"/>
      <c r="JD37" s="177"/>
      <c r="JE37" s="177"/>
      <c r="JF37" s="177"/>
      <c r="JG37" s="177"/>
      <c r="JH37" s="177"/>
      <c r="JI37" s="177"/>
      <c r="JJ37" s="177"/>
      <c r="JK37" s="177"/>
      <c r="JL37" s="177"/>
      <c r="JM37" s="177"/>
      <c r="JN37" s="177"/>
      <c r="JO37" s="177"/>
      <c r="JP37" s="177"/>
      <c r="JQ37" s="177"/>
      <c r="JR37" s="177"/>
    </row>
    <row r="38" s="178" customFormat="true" ht="21" hidden="false" customHeight="true" outlineLevel="0" collapsed="false">
      <c r="A38" s="144" t="s">
        <v>1096</v>
      </c>
      <c r="B38" s="145" t="s">
        <v>1177</v>
      </c>
      <c r="C38" s="144" t="s">
        <v>1175</v>
      </c>
      <c r="D38" s="144" t="s">
        <v>1178</v>
      </c>
      <c r="E38" s="146"/>
      <c r="F38" s="146"/>
      <c r="G38" s="146"/>
      <c r="H38" s="146"/>
      <c r="I38" s="146"/>
      <c r="J38" s="179"/>
      <c r="K38" s="179"/>
      <c r="L38" s="179"/>
      <c r="M38" s="179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177"/>
      <c r="BQ38" s="177"/>
      <c r="BR38" s="177"/>
      <c r="BS38" s="177"/>
      <c r="BT38" s="177"/>
      <c r="BU38" s="177"/>
      <c r="BV38" s="177"/>
      <c r="BW38" s="177"/>
      <c r="BX38" s="177"/>
      <c r="BY38" s="177"/>
      <c r="BZ38" s="177"/>
      <c r="CA38" s="177"/>
      <c r="CB38" s="177"/>
      <c r="CC38" s="177"/>
      <c r="CD38" s="177"/>
      <c r="CE38" s="177"/>
      <c r="CF38" s="177"/>
      <c r="CG38" s="177"/>
      <c r="CH38" s="177"/>
      <c r="CI38" s="177"/>
      <c r="CJ38" s="177"/>
      <c r="CK38" s="177"/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7"/>
      <c r="CW38" s="177"/>
      <c r="CX38" s="177"/>
      <c r="CY38" s="177"/>
      <c r="CZ38" s="177"/>
      <c r="DA38" s="177"/>
      <c r="DB38" s="177"/>
      <c r="DC38" s="177"/>
      <c r="DD38" s="177"/>
      <c r="DE38" s="177"/>
      <c r="DF38" s="177"/>
      <c r="DG38" s="177"/>
      <c r="DH38" s="177"/>
      <c r="DI38" s="177"/>
      <c r="DJ38" s="177"/>
      <c r="DK38" s="177"/>
      <c r="DL38" s="177"/>
      <c r="DM38" s="177"/>
      <c r="DN38" s="177"/>
      <c r="DO38" s="177"/>
      <c r="DP38" s="177"/>
      <c r="DQ38" s="177"/>
      <c r="DR38" s="177"/>
      <c r="DS38" s="177"/>
      <c r="DT38" s="177"/>
      <c r="DU38" s="177"/>
      <c r="DV38" s="177"/>
      <c r="DW38" s="177"/>
      <c r="DX38" s="177"/>
      <c r="DY38" s="177"/>
      <c r="DZ38" s="177"/>
      <c r="EA38" s="177"/>
      <c r="EB38" s="177"/>
      <c r="EC38" s="177"/>
      <c r="ED38" s="177"/>
      <c r="EE38" s="177"/>
      <c r="EF38" s="177"/>
      <c r="EG38" s="177"/>
      <c r="EH38" s="177"/>
      <c r="EI38" s="177"/>
      <c r="EJ38" s="177"/>
      <c r="EK38" s="177"/>
      <c r="EL38" s="177"/>
      <c r="EM38" s="177"/>
      <c r="EN38" s="177"/>
      <c r="EO38" s="177"/>
      <c r="EP38" s="177"/>
      <c r="EQ38" s="177"/>
      <c r="ER38" s="177"/>
      <c r="ES38" s="177"/>
      <c r="ET38" s="177"/>
      <c r="EU38" s="177"/>
      <c r="EV38" s="177"/>
      <c r="EW38" s="177"/>
      <c r="EX38" s="177"/>
      <c r="EY38" s="177"/>
      <c r="EZ38" s="177"/>
      <c r="FA38" s="177"/>
      <c r="FB38" s="177"/>
      <c r="FC38" s="177"/>
      <c r="FD38" s="177"/>
      <c r="FE38" s="177"/>
      <c r="FF38" s="177"/>
      <c r="FG38" s="177"/>
      <c r="FH38" s="177"/>
      <c r="FI38" s="177"/>
      <c r="FJ38" s="177"/>
      <c r="FK38" s="177"/>
      <c r="FL38" s="177"/>
      <c r="FM38" s="177"/>
      <c r="FN38" s="177"/>
      <c r="FO38" s="177"/>
      <c r="FP38" s="177"/>
      <c r="FQ38" s="177"/>
      <c r="FR38" s="177"/>
      <c r="FS38" s="177"/>
      <c r="FT38" s="177"/>
      <c r="FU38" s="177"/>
      <c r="FV38" s="177"/>
      <c r="FW38" s="177"/>
      <c r="FX38" s="177"/>
      <c r="FY38" s="177"/>
      <c r="FZ38" s="177"/>
      <c r="GA38" s="177"/>
      <c r="GB38" s="177"/>
      <c r="GC38" s="177"/>
      <c r="GD38" s="177"/>
      <c r="GE38" s="177"/>
      <c r="GF38" s="177"/>
      <c r="GG38" s="177"/>
      <c r="GH38" s="177"/>
      <c r="GI38" s="177"/>
      <c r="GJ38" s="177"/>
      <c r="GK38" s="177"/>
      <c r="GL38" s="177"/>
      <c r="GM38" s="177"/>
      <c r="GN38" s="177"/>
      <c r="GO38" s="177"/>
      <c r="GP38" s="177"/>
      <c r="GQ38" s="177"/>
      <c r="GR38" s="177"/>
      <c r="GS38" s="177"/>
      <c r="GT38" s="177"/>
      <c r="GU38" s="177"/>
      <c r="GV38" s="177"/>
      <c r="GW38" s="177"/>
      <c r="GX38" s="177"/>
      <c r="GY38" s="177"/>
      <c r="GZ38" s="177"/>
      <c r="HA38" s="177"/>
      <c r="HB38" s="177"/>
      <c r="HC38" s="177"/>
      <c r="HD38" s="177"/>
      <c r="HE38" s="177"/>
      <c r="HF38" s="177"/>
      <c r="HG38" s="177"/>
      <c r="HH38" s="177"/>
      <c r="HI38" s="177"/>
      <c r="HJ38" s="177"/>
      <c r="HK38" s="177"/>
      <c r="HL38" s="177"/>
      <c r="HM38" s="177"/>
      <c r="HN38" s="177"/>
      <c r="HO38" s="177"/>
      <c r="HP38" s="177"/>
      <c r="HQ38" s="177"/>
      <c r="HR38" s="177"/>
      <c r="HS38" s="177"/>
      <c r="HT38" s="177"/>
      <c r="HU38" s="177"/>
      <c r="HV38" s="177"/>
      <c r="HW38" s="177"/>
      <c r="HX38" s="177"/>
      <c r="HY38" s="177"/>
      <c r="HZ38" s="177"/>
      <c r="IA38" s="177"/>
      <c r="IB38" s="177"/>
      <c r="IC38" s="177"/>
      <c r="ID38" s="177"/>
      <c r="IE38" s="177"/>
      <c r="IF38" s="177"/>
      <c r="IG38" s="177"/>
      <c r="IH38" s="177"/>
      <c r="II38" s="177"/>
      <c r="IJ38" s="177"/>
      <c r="IK38" s="177"/>
      <c r="IL38" s="177"/>
      <c r="IM38" s="177"/>
      <c r="IN38" s="177"/>
      <c r="IO38" s="177"/>
      <c r="IP38" s="177"/>
      <c r="IQ38" s="177"/>
      <c r="IR38" s="177"/>
      <c r="IS38" s="177"/>
      <c r="IT38" s="177"/>
      <c r="IU38" s="177"/>
      <c r="IV38" s="177"/>
      <c r="IW38" s="177"/>
      <c r="IX38" s="177"/>
      <c r="IY38" s="177"/>
      <c r="IZ38" s="177"/>
      <c r="JA38" s="177"/>
      <c r="JB38" s="177"/>
      <c r="JC38" s="177"/>
      <c r="JD38" s="177"/>
      <c r="JE38" s="177"/>
      <c r="JF38" s="177"/>
      <c r="JG38" s="177"/>
      <c r="JH38" s="177"/>
      <c r="JI38" s="177"/>
      <c r="JJ38" s="177"/>
      <c r="JK38" s="177"/>
      <c r="JL38" s="177"/>
      <c r="JM38" s="177"/>
      <c r="JN38" s="177"/>
      <c r="JO38" s="177"/>
      <c r="JP38" s="177"/>
      <c r="JQ38" s="177"/>
      <c r="JR38" s="177"/>
    </row>
    <row r="39" s="178" customFormat="true" ht="21" hidden="false" customHeight="true" outlineLevel="0" collapsed="false">
      <c r="A39" s="139" t="s">
        <v>1096</v>
      </c>
      <c r="B39" s="140" t="s">
        <v>1179</v>
      </c>
      <c r="C39" s="139" t="s">
        <v>1175</v>
      </c>
      <c r="D39" s="139" t="s">
        <v>1180</v>
      </c>
      <c r="E39" s="141"/>
      <c r="F39" s="141"/>
      <c r="G39" s="141"/>
      <c r="H39" s="141"/>
      <c r="I39" s="141"/>
      <c r="J39" s="176"/>
      <c r="K39" s="176"/>
      <c r="L39" s="176"/>
      <c r="M39" s="176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177"/>
      <c r="BQ39" s="177"/>
      <c r="BR39" s="177"/>
      <c r="BS39" s="177"/>
      <c r="BT39" s="177"/>
      <c r="BU39" s="177"/>
      <c r="BV39" s="177"/>
      <c r="BW39" s="177"/>
      <c r="BX39" s="177"/>
      <c r="BY39" s="177"/>
      <c r="BZ39" s="177"/>
      <c r="CA39" s="177"/>
      <c r="CB39" s="177"/>
      <c r="CC39" s="177"/>
      <c r="CD39" s="177"/>
      <c r="CE39" s="177"/>
      <c r="CF39" s="177"/>
      <c r="CG39" s="177"/>
      <c r="CH39" s="177"/>
      <c r="CI39" s="177"/>
      <c r="CJ39" s="177"/>
      <c r="CK39" s="177"/>
      <c r="CL39" s="177"/>
      <c r="CM39" s="177"/>
      <c r="CN39" s="177"/>
      <c r="CO39" s="177"/>
      <c r="CP39" s="177"/>
      <c r="CQ39" s="177"/>
      <c r="CR39" s="177"/>
      <c r="CS39" s="177"/>
      <c r="CT39" s="177"/>
      <c r="CU39" s="177"/>
      <c r="CV39" s="177"/>
      <c r="CW39" s="177"/>
      <c r="CX39" s="177"/>
      <c r="CY39" s="177"/>
      <c r="CZ39" s="177"/>
      <c r="DA39" s="177"/>
      <c r="DB39" s="177"/>
      <c r="DC39" s="177"/>
      <c r="DD39" s="177"/>
      <c r="DE39" s="177"/>
      <c r="DF39" s="177"/>
      <c r="DG39" s="177"/>
      <c r="DH39" s="177"/>
      <c r="DI39" s="177"/>
      <c r="DJ39" s="177"/>
      <c r="DK39" s="177"/>
      <c r="DL39" s="177"/>
      <c r="DM39" s="177"/>
      <c r="DN39" s="177"/>
      <c r="DO39" s="177"/>
      <c r="DP39" s="177"/>
      <c r="DQ39" s="177"/>
      <c r="DR39" s="177"/>
      <c r="DS39" s="177"/>
      <c r="DT39" s="177"/>
      <c r="DU39" s="177"/>
      <c r="DV39" s="177"/>
      <c r="DW39" s="177"/>
      <c r="DX39" s="177"/>
      <c r="DY39" s="177"/>
      <c r="DZ39" s="177"/>
      <c r="EA39" s="177"/>
      <c r="EB39" s="177"/>
      <c r="EC39" s="177"/>
      <c r="ED39" s="177"/>
      <c r="EE39" s="177"/>
      <c r="EF39" s="177"/>
      <c r="EG39" s="177"/>
      <c r="EH39" s="177"/>
      <c r="EI39" s="177"/>
      <c r="EJ39" s="177"/>
      <c r="EK39" s="177"/>
      <c r="EL39" s="177"/>
      <c r="EM39" s="177"/>
      <c r="EN39" s="177"/>
      <c r="EO39" s="177"/>
      <c r="EP39" s="177"/>
      <c r="EQ39" s="177"/>
      <c r="ER39" s="177"/>
      <c r="ES39" s="177"/>
      <c r="ET39" s="177"/>
      <c r="EU39" s="177"/>
      <c r="EV39" s="177"/>
      <c r="EW39" s="177"/>
      <c r="EX39" s="177"/>
      <c r="EY39" s="177"/>
      <c r="EZ39" s="177"/>
      <c r="FA39" s="177"/>
      <c r="FB39" s="177"/>
      <c r="FC39" s="177"/>
      <c r="FD39" s="177"/>
      <c r="FE39" s="177"/>
      <c r="FF39" s="177"/>
      <c r="FG39" s="177"/>
      <c r="FH39" s="177"/>
      <c r="FI39" s="177"/>
      <c r="FJ39" s="177"/>
      <c r="FK39" s="177"/>
      <c r="FL39" s="177"/>
      <c r="FM39" s="177"/>
      <c r="FN39" s="177"/>
      <c r="FO39" s="177"/>
      <c r="FP39" s="177"/>
      <c r="FQ39" s="177"/>
      <c r="FR39" s="177"/>
      <c r="FS39" s="177"/>
      <c r="FT39" s="177"/>
      <c r="FU39" s="177"/>
      <c r="FV39" s="177"/>
      <c r="FW39" s="177"/>
      <c r="FX39" s="177"/>
      <c r="FY39" s="177"/>
      <c r="FZ39" s="177"/>
      <c r="GA39" s="177"/>
      <c r="GB39" s="177"/>
      <c r="GC39" s="177"/>
      <c r="GD39" s="177"/>
      <c r="GE39" s="177"/>
      <c r="GF39" s="177"/>
      <c r="GG39" s="177"/>
      <c r="GH39" s="177"/>
      <c r="GI39" s="177"/>
      <c r="GJ39" s="177"/>
      <c r="GK39" s="177"/>
      <c r="GL39" s="177"/>
      <c r="GM39" s="177"/>
      <c r="GN39" s="177"/>
      <c r="GO39" s="177"/>
      <c r="GP39" s="177"/>
      <c r="GQ39" s="177"/>
      <c r="GR39" s="177"/>
      <c r="GS39" s="177"/>
      <c r="GT39" s="177"/>
      <c r="GU39" s="177"/>
      <c r="GV39" s="177"/>
      <c r="GW39" s="177"/>
      <c r="GX39" s="177"/>
      <c r="GY39" s="177"/>
      <c r="GZ39" s="177"/>
      <c r="HA39" s="177"/>
      <c r="HB39" s="177"/>
      <c r="HC39" s="177"/>
      <c r="HD39" s="177"/>
      <c r="HE39" s="177"/>
      <c r="HF39" s="177"/>
      <c r="HG39" s="177"/>
      <c r="HH39" s="177"/>
      <c r="HI39" s="177"/>
      <c r="HJ39" s="177"/>
      <c r="HK39" s="177"/>
      <c r="HL39" s="177"/>
      <c r="HM39" s="177"/>
      <c r="HN39" s="177"/>
      <c r="HO39" s="177"/>
      <c r="HP39" s="177"/>
      <c r="HQ39" s="177"/>
      <c r="HR39" s="177"/>
      <c r="HS39" s="177"/>
      <c r="HT39" s="177"/>
      <c r="HU39" s="177"/>
      <c r="HV39" s="177"/>
      <c r="HW39" s="177"/>
      <c r="HX39" s="177"/>
      <c r="HY39" s="177"/>
      <c r="HZ39" s="177"/>
      <c r="IA39" s="177"/>
      <c r="IB39" s="177"/>
      <c r="IC39" s="177"/>
      <c r="ID39" s="177"/>
      <c r="IE39" s="177"/>
      <c r="IF39" s="177"/>
      <c r="IG39" s="177"/>
      <c r="IH39" s="177"/>
      <c r="II39" s="177"/>
      <c r="IJ39" s="177"/>
      <c r="IK39" s="177"/>
      <c r="IL39" s="177"/>
      <c r="IM39" s="177"/>
      <c r="IN39" s="177"/>
      <c r="IO39" s="177"/>
      <c r="IP39" s="177"/>
      <c r="IQ39" s="177"/>
      <c r="IR39" s="177"/>
      <c r="IS39" s="177"/>
      <c r="IT39" s="177"/>
      <c r="IU39" s="177"/>
      <c r="IV39" s="177"/>
      <c r="IW39" s="177"/>
      <c r="IX39" s="177"/>
      <c r="IY39" s="177"/>
      <c r="IZ39" s="177"/>
      <c r="JA39" s="177"/>
      <c r="JB39" s="177"/>
      <c r="JC39" s="177"/>
      <c r="JD39" s="177"/>
      <c r="JE39" s="177"/>
      <c r="JF39" s="177"/>
      <c r="JG39" s="177"/>
      <c r="JH39" s="177"/>
      <c r="JI39" s="177"/>
      <c r="JJ39" s="177"/>
      <c r="JK39" s="177"/>
      <c r="JL39" s="177"/>
      <c r="JM39" s="177"/>
      <c r="JN39" s="177"/>
      <c r="JO39" s="177"/>
      <c r="JP39" s="177"/>
      <c r="JQ39" s="177"/>
      <c r="JR39" s="177"/>
    </row>
    <row r="40" s="178" customFormat="true" ht="21" hidden="false" customHeight="true" outlineLevel="0" collapsed="false">
      <c r="A40" s="144" t="s">
        <v>1096</v>
      </c>
      <c r="B40" s="145" t="s">
        <v>1181</v>
      </c>
      <c r="C40" s="144" t="s">
        <v>1182</v>
      </c>
      <c r="D40" s="144" t="s">
        <v>1183</v>
      </c>
      <c r="E40" s="146"/>
      <c r="F40" s="146"/>
      <c r="G40" s="146"/>
      <c r="H40" s="146"/>
      <c r="I40" s="146"/>
      <c r="J40" s="179"/>
      <c r="K40" s="179"/>
      <c r="L40" s="179"/>
      <c r="M40" s="179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  <c r="BS40" s="177"/>
      <c r="BT40" s="177"/>
      <c r="BU40" s="177"/>
      <c r="BV40" s="177"/>
      <c r="BW40" s="177"/>
      <c r="BX40" s="177"/>
      <c r="BY40" s="177"/>
      <c r="BZ40" s="177"/>
      <c r="CA40" s="177"/>
      <c r="CB40" s="177"/>
      <c r="CC40" s="177"/>
      <c r="CD40" s="177"/>
      <c r="CE40" s="177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7"/>
      <c r="CW40" s="177"/>
      <c r="CX40" s="177"/>
      <c r="CY40" s="177"/>
      <c r="CZ40" s="177"/>
      <c r="DA40" s="177"/>
      <c r="DB40" s="177"/>
      <c r="DC40" s="177"/>
      <c r="DD40" s="177"/>
      <c r="DE40" s="177"/>
      <c r="DF40" s="177"/>
      <c r="DG40" s="177"/>
      <c r="DH40" s="177"/>
      <c r="DI40" s="177"/>
      <c r="DJ40" s="177"/>
      <c r="DK40" s="177"/>
      <c r="DL40" s="177"/>
      <c r="DM40" s="177"/>
      <c r="DN40" s="177"/>
      <c r="DO40" s="177"/>
      <c r="DP40" s="177"/>
      <c r="DQ40" s="177"/>
      <c r="DR40" s="177"/>
      <c r="DS40" s="177"/>
      <c r="DT40" s="177"/>
      <c r="DU40" s="177"/>
      <c r="DV40" s="177"/>
      <c r="DW40" s="177"/>
      <c r="DX40" s="177"/>
      <c r="DY40" s="177"/>
      <c r="DZ40" s="177"/>
      <c r="EA40" s="177"/>
      <c r="EB40" s="177"/>
      <c r="EC40" s="177"/>
      <c r="ED40" s="177"/>
      <c r="EE40" s="177"/>
      <c r="EF40" s="177"/>
      <c r="EG40" s="177"/>
      <c r="EH40" s="177"/>
      <c r="EI40" s="177"/>
      <c r="EJ40" s="177"/>
      <c r="EK40" s="177"/>
      <c r="EL40" s="177"/>
      <c r="EM40" s="177"/>
      <c r="EN40" s="177"/>
      <c r="EO40" s="177"/>
      <c r="EP40" s="177"/>
      <c r="EQ40" s="177"/>
      <c r="ER40" s="177"/>
      <c r="ES40" s="177"/>
      <c r="ET40" s="177"/>
      <c r="EU40" s="177"/>
      <c r="EV40" s="177"/>
      <c r="EW40" s="177"/>
      <c r="EX40" s="177"/>
      <c r="EY40" s="177"/>
      <c r="EZ40" s="177"/>
      <c r="FA40" s="177"/>
      <c r="FB40" s="177"/>
      <c r="FC40" s="177"/>
      <c r="FD40" s="177"/>
      <c r="FE40" s="177"/>
      <c r="FF40" s="177"/>
      <c r="FG40" s="177"/>
      <c r="FH40" s="177"/>
      <c r="FI40" s="177"/>
      <c r="FJ40" s="177"/>
      <c r="FK40" s="177"/>
      <c r="FL40" s="177"/>
      <c r="FM40" s="177"/>
      <c r="FN40" s="177"/>
      <c r="FO40" s="177"/>
      <c r="FP40" s="177"/>
      <c r="FQ40" s="177"/>
      <c r="FR40" s="177"/>
      <c r="FS40" s="177"/>
      <c r="FT40" s="177"/>
      <c r="FU40" s="177"/>
      <c r="FV40" s="177"/>
      <c r="FW40" s="177"/>
      <c r="FX40" s="177"/>
      <c r="FY40" s="177"/>
      <c r="FZ40" s="177"/>
      <c r="GA40" s="177"/>
      <c r="GB40" s="177"/>
      <c r="GC40" s="177"/>
      <c r="GD40" s="177"/>
      <c r="GE40" s="177"/>
      <c r="GF40" s="177"/>
      <c r="GG40" s="177"/>
      <c r="GH40" s="177"/>
      <c r="GI40" s="177"/>
      <c r="GJ40" s="177"/>
      <c r="GK40" s="177"/>
      <c r="GL40" s="177"/>
      <c r="GM40" s="177"/>
      <c r="GN40" s="177"/>
      <c r="GO40" s="177"/>
      <c r="GP40" s="177"/>
      <c r="GQ40" s="177"/>
      <c r="GR40" s="177"/>
      <c r="GS40" s="177"/>
      <c r="GT40" s="177"/>
      <c r="GU40" s="177"/>
      <c r="GV40" s="177"/>
      <c r="GW40" s="177"/>
      <c r="GX40" s="177"/>
      <c r="GY40" s="177"/>
      <c r="GZ40" s="177"/>
      <c r="HA40" s="177"/>
      <c r="HB40" s="177"/>
      <c r="HC40" s="177"/>
      <c r="HD40" s="177"/>
      <c r="HE40" s="177"/>
      <c r="HF40" s="177"/>
      <c r="HG40" s="177"/>
      <c r="HH40" s="177"/>
      <c r="HI40" s="177"/>
      <c r="HJ40" s="177"/>
      <c r="HK40" s="177"/>
      <c r="HL40" s="177"/>
      <c r="HM40" s="177"/>
      <c r="HN40" s="177"/>
      <c r="HO40" s="177"/>
      <c r="HP40" s="177"/>
      <c r="HQ40" s="177"/>
      <c r="HR40" s="177"/>
      <c r="HS40" s="177"/>
      <c r="HT40" s="177"/>
      <c r="HU40" s="177"/>
      <c r="HV40" s="177"/>
      <c r="HW40" s="177"/>
      <c r="HX40" s="177"/>
      <c r="HY40" s="177"/>
      <c r="HZ40" s="177"/>
      <c r="IA40" s="177"/>
      <c r="IB40" s="177"/>
      <c r="IC40" s="177"/>
      <c r="ID40" s="177"/>
      <c r="IE40" s="177"/>
      <c r="IF40" s="177"/>
      <c r="IG40" s="177"/>
      <c r="IH40" s="177"/>
      <c r="II40" s="177"/>
      <c r="IJ40" s="177"/>
      <c r="IK40" s="177"/>
      <c r="IL40" s="177"/>
      <c r="IM40" s="177"/>
      <c r="IN40" s="177"/>
      <c r="IO40" s="177"/>
      <c r="IP40" s="177"/>
      <c r="IQ40" s="177"/>
      <c r="IR40" s="177"/>
      <c r="IS40" s="177"/>
      <c r="IT40" s="177"/>
      <c r="IU40" s="177"/>
      <c r="IV40" s="177"/>
      <c r="IW40" s="177"/>
      <c r="IX40" s="177"/>
      <c r="IY40" s="177"/>
      <c r="IZ40" s="177"/>
      <c r="JA40" s="177"/>
      <c r="JB40" s="177"/>
      <c r="JC40" s="177"/>
      <c r="JD40" s="177"/>
      <c r="JE40" s="177"/>
      <c r="JF40" s="177"/>
      <c r="JG40" s="177"/>
      <c r="JH40" s="177"/>
      <c r="JI40" s="177"/>
      <c r="JJ40" s="177"/>
      <c r="JK40" s="177"/>
      <c r="JL40" s="177"/>
      <c r="JM40" s="177"/>
      <c r="JN40" s="177"/>
      <c r="JO40" s="177"/>
      <c r="JP40" s="177"/>
      <c r="JQ40" s="177"/>
      <c r="JR40" s="177"/>
    </row>
    <row r="41" s="178" customFormat="true" ht="21" hidden="false" customHeight="true" outlineLevel="0" collapsed="false">
      <c r="A41" s="139" t="s">
        <v>949</v>
      </c>
      <c r="B41" s="140" t="s">
        <v>1184</v>
      </c>
      <c r="C41" s="139" t="s">
        <v>1185</v>
      </c>
      <c r="D41" s="139" t="s">
        <v>1186</v>
      </c>
      <c r="E41" s="141"/>
      <c r="F41" s="141"/>
      <c r="G41" s="141"/>
      <c r="H41" s="141"/>
      <c r="I41" s="141"/>
      <c r="J41" s="176"/>
      <c r="K41" s="176"/>
      <c r="L41" s="176"/>
      <c r="M41" s="176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77"/>
      <c r="CV41" s="177"/>
      <c r="CW41" s="177"/>
      <c r="CX41" s="177"/>
      <c r="CY41" s="177"/>
      <c r="CZ41" s="177"/>
      <c r="DA41" s="177"/>
      <c r="DB41" s="177"/>
      <c r="DC41" s="177"/>
      <c r="DD41" s="177"/>
      <c r="DE41" s="177"/>
      <c r="DF41" s="177"/>
      <c r="DG41" s="177"/>
      <c r="DH41" s="177"/>
      <c r="DI41" s="177"/>
      <c r="DJ41" s="177"/>
      <c r="DK41" s="177"/>
      <c r="DL41" s="177"/>
      <c r="DM41" s="177"/>
      <c r="DN41" s="177"/>
      <c r="DO41" s="177"/>
      <c r="DP41" s="177"/>
      <c r="DQ41" s="177"/>
      <c r="DR41" s="177"/>
      <c r="DS41" s="177"/>
      <c r="DT41" s="177"/>
      <c r="DU41" s="177"/>
      <c r="DV41" s="177"/>
      <c r="DW41" s="177"/>
      <c r="DX41" s="177"/>
      <c r="DY41" s="177"/>
      <c r="DZ41" s="177"/>
      <c r="EA41" s="177"/>
      <c r="EB41" s="177"/>
      <c r="EC41" s="177"/>
      <c r="ED41" s="177"/>
      <c r="EE41" s="177"/>
      <c r="EF41" s="177"/>
      <c r="EG41" s="177"/>
      <c r="EH41" s="177"/>
      <c r="EI41" s="177"/>
      <c r="EJ41" s="177"/>
      <c r="EK41" s="177"/>
      <c r="EL41" s="177"/>
      <c r="EM41" s="177"/>
      <c r="EN41" s="177"/>
      <c r="EO41" s="177"/>
      <c r="EP41" s="177"/>
      <c r="EQ41" s="177"/>
      <c r="ER41" s="177"/>
      <c r="ES41" s="177"/>
      <c r="ET41" s="177"/>
      <c r="EU41" s="177"/>
      <c r="EV41" s="177"/>
      <c r="EW41" s="177"/>
      <c r="EX41" s="177"/>
      <c r="EY41" s="177"/>
      <c r="EZ41" s="177"/>
      <c r="FA41" s="177"/>
      <c r="FB41" s="177"/>
      <c r="FC41" s="177"/>
      <c r="FD41" s="177"/>
      <c r="FE41" s="177"/>
      <c r="FF41" s="177"/>
      <c r="FG41" s="177"/>
      <c r="FH41" s="177"/>
      <c r="FI41" s="177"/>
      <c r="FJ41" s="177"/>
      <c r="FK41" s="177"/>
      <c r="FL41" s="177"/>
      <c r="FM41" s="177"/>
      <c r="FN41" s="177"/>
      <c r="FO41" s="177"/>
      <c r="FP41" s="177"/>
      <c r="FQ41" s="177"/>
      <c r="FR41" s="177"/>
      <c r="FS41" s="177"/>
      <c r="FT41" s="177"/>
      <c r="FU41" s="177"/>
      <c r="FV41" s="177"/>
      <c r="FW41" s="177"/>
      <c r="FX41" s="177"/>
      <c r="FY41" s="177"/>
      <c r="FZ41" s="177"/>
      <c r="GA41" s="177"/>
      <c r="GB41" s="177"/>
      <c r="GC41" s="177"/>
      <c r="GD41" s="177"/>
      <c r="GE41" s="177"/>
      <c r="GF41" s="177"/>
      <c r="GG41" s="177"/>
      <c r="GH41" s="177"/>
      <c r="GI41" s="177"/>
      <c r="GJ41" s="177"/>
      <c r="GK41" s="177"/>
      <c r="GL41" s="177"/>
      <c r="GM41" s="177"/>
      <c r="GN41" s="177"/>
      <c r="GO41" s="177"/>
      <c r="GP41" s="177"/>
      <c r="GQ41" s="177"/>
      <c r="GR41" s="177"/>
      <c r="GS41" s="177"/>
      <c r="GT41" s="177"/>
      <c r="GU41" s="177"/>
      <c r="GV41" s="177"/>
      <c r="GW41" s="177"/>
      <c r="GX41" s="177"/>
      <c r="GY41" s="177"/>
      <c r="GZ41" s="177"/>
      <c r="HA41" s="177"/>
      <c r="HB41" s="177"/>
      <c r="HC41" s="177"/>
      <c r="HD41" s="177"/>
      <c r="HE41" s="177"/>
      <c r="HF41" s="177"/>
      <c r="HG41" s="177"/>
      <c r="HH41" s="177"/>
      <c r="HI41" s="177"/>
      <c r="HJ41" s="177"/>
      <c r="HK41" s="177"/>
      <c r="HL41" s="177"/>
      <c r="HM41" s="177"/>
      <c r="HN41" s="177"/>
      <c r="HO41" s="177"/>
      <c r="HP41" s="177"/>
      <c r="HQ41" s="177"/>
      <c r="HR41" s="177"/>
      <c r="HS41" s="177"/>
      <c r="HT41" s="177"/>
      <c r="HU41" s="177"/>
      <c r="HV41" s="177"/>
      <c r="HW41" s="177"/>
      <c r="HX41" s="177"/>
      <c r="HY41" s="177"/>
      <c r="HZ41" s="177"/>
      <c r="IA41" s="177"/>
      <c r="IB41" s="177"/>
      <c r="IC41" s="177"/>
      <c r="ID41" s="177"/>
      <c r="IE41" s="177"/>
      <c r="IF41" s="177"/>
      <c r="IG41" s="177"/>
      <c r="IH41" s="177"/>
      <c r="II41" s="177"/>
      <c r="IJ41" s="177"/>
      <c r="IK41" s="177"/>
      <c r="IL41" s="177"/>
      <c r="IM41" s="177"/>
      <c r="IN41" s="177"/>
      <c r="IO41" s="177"/>
      <c r="IP41" s="177"/>
      <c r="IQ41" s="177"/>
      <c r="IR41" s="177"/>
      <c r="IS41" s="177"/>
      <c r="IT41" s="177"/>
      <c r="IU41" s="177"/>
      <c r="IV41" s="177"/>
      <c r="IW41" s="177"/>
      <c r="IX41" s="177"/>
      <c r="IY41" s="177"/>
      <c r="IZ41" s="177"/>
      <c r="JA41" s="177"/>
      <c r="JB41" s="177"/>
      <c r="JC41" s="177"/>
      <c r="JD41" s="177"/>
      <c r="JE41" s="177"/>
      <c r="JF41" s="177"/>
      <c r="JG41" s="177"/>
      <c r="JH41" s="177"/>
      <c r="JI41" s="177"/>
      <c r="JJ41" s="177"/>
      <c r="JK41" s="177"/>
      <c r="JL41" s="177"/>
      <c r="JM41" s="177"/>
      <c r="JN41" s="177"/>
      <c r="JO41" s="177"/>
      <c r="JP41" s="177"/>
      <c r="JQ41" s="177"/>
      <c r="JR41" s="177"/>
    </row>
    <row r="42" customFormat="false" ht="21" hidden="false" customHeight="true" outlineLevel="0" collapsed="false">
      <c r="A42" s="144" t="s">
        <v>949</v>
      </c>
      <c r="B42" s="145" t="s">
        <v>1187</v>
      </c>
      <c r="C42" s="144" t="s">
        <v>1188</v>
      </c>
      <c r="D42" s="144" t="s">
        <v>1189</v>
      </c>
      <c r="E42" s="146"/>
      <c r="F42" s="146"/>
      <c r="G42" s="146"/>
      <c r="H42" s="146"/>
      <c r="I42" s="146"/>
      <c r="J42" s="148"/>
      <c r="K42" s="148"/>
      <c r="L42" s="148"/>
      <c r="M42" s="148"/>
    </row>
    <row r="43" customFormat="false" ht="21" hidden="false" customHeight="true" outlineLevel="0" collapsed="false">
      <c r="A43" s="139" t="s">
        <v>949</v>
      </c>
      <c r="B43" s="140" t="s">
        <v>1190</v>
      </c>
      <c r="C43" s="139" t="s">
        <v>1191</v>
      </c>
      <c r="D43" s="139" t="s">
        <v>1192</v>
      </c>
      <c r="E43" s="141"/>
      <c r="F43" s="141"/>
      <c r="G43" s="141"/>
      <c r="H43" s="141"/>
      <c r="I43" s="141"/>
      <c r="J43" s="143"/>
      <c r="K43" s="143"/>
      <c r="L43" s="143"/>
      <c r="M43" s="143"/>
    </row>
    <row r="44" customFormat="false" ht="21" hidden="false" customHeight="true" outlineLevel="0" collapsed="false">
      <c r="A44" s="144" t="s">
        <v>1096</v>
      </c>
      <c r="B44" s="145" t="s">
        <v>1193</v>
      </c>
      <c r="C44" s="144" t="s">
        <v>1194</v>
      </c>
      <c r="D44" s="144" t="s">
        <v>1195</v>
      </c>
      <c r="E44" s="146"/>
      <c r="F44" s="146"/>
      <c r="G44" s="146"/>
      <c r="H44" s="146"/>
      <c r="I44" s="146"/>
      <c r="J44" s="148"/>
      <c r="K44" s="148"/>
      <c r="L44" s="148"/>
      <c r="M44" s="148"/>
    </row>
    <row r="45" customFormat="false" ht="21" hidden="false" customHeight="true" outlineLevel="0" collapsed="false">
      <c r="A45" s="139" t="s">
        <v>949</v>
      </c>
      <c r="B45" s="140" t="s">
        <v>1196</v>
      </c>
      <c r="C45" s="139" t="s">
        <v>1197</v>
      </c>
      <c r="D45" s="139" t="s">
        <v>1198</v>
      </c>
      <c r="E45" s="141"/>
      <c r="F45" s="141"/>
      <c r="G45" s="141"/>
      <c r="H45" s="141"/>
      <c r="I45" s="141"/>
      <c r="J45" s="143"/>
      <c r="K45" s="143"/>
      <c r="L45" s="143"/>
      <c r="M45" s="143"/>
    </row>
    <row r="46" customFormat="false" ht="21" hidden="false" customHeight="true" outlineLevel="0" collapsed="false">
      <c r="A46" s="144" t="s">
        <v>949</v>
      </c>
      <c r="B46" s="145" t="s">
        <v>1199</v>
      </c>
      <c r="C46" s="144" t="s">
        <v>1200</v>
      </c>
      <c r="D46" s="144" t="s">
        <v>1201</v>
      </c>
      <c r="E46" s="146"/>
      <c r="F46" s="146"/>
      <c r="G46" s="146"/>
      <c r="H46" s="146"/>
      <c r="I46" s="146"/>
      <c r="J46" s="148"/>
      <c r="K46" s="148"/>
      <c r="L46" s="148"/>
      <c r="M46" s="148"/>
    </row>
    <row r="47" customFormat="false" ht="21" hidden="false" customHeight="true" outlineLevel="0" collapsed="false">
      <c r="A47" s="139" t="s">
        <v>1115</v>
      </c>
      <c r="B47" s="140" t="s">
        <v>1202</v>
      </c>
      <c r="C47" s="139" t="s">
        <v>1203</v>
      </c>
      <c r="D47" s="139" t="s">
        <v>1204</v>
      </c>
      <c r="E47" s="141"/>
      <c r="F47" s="141"/>
      <c r="G47" s="141"/>
      <c r="H47" s="141"/>
      <c r="I47" s="141"/>
      <c r="J47" s="143"/>
      <c r="K47" s="143"/>
      <c r="L47" s="143"/>
      <c r="M47" s="143"/>
    </row>
    <row r="48" customFormat="false" ht="21" hidden="false" customHeight="true" outlineLevel="0" collapsed="false">
      <c r="A48" s="144" t="s">
        <v>909</v>
      </c>
      <c r="B48" s="145" t="s">
        <v>1205</v>
      </c>
      <c r="C48" s="164" t="s">
        <v>1206</v>
      </c>
      <c r="D48" s="144" t="s">
        <v>1207</v>
      </c>
      <c r="E48" s="146"/>
      <c r="F48" s="146"/>
      <c r="G48" s="146"/>
      <c r="H48" s="146"/>
      <c r="I48" s="146"/>
      <c r="J48" s="148"/>
      <c r="K48" s="148"/>
      <c r="L48" s="148"/>
      <c r="M48" s="148"/>
    </row>
    <row r="49" customFormat="false" ht="21" hidden="false" customHeight="true" outlineLevel="0" collapsed="false">
      <c r="A49" s="139" t="s">
        <v>909</v>
      </c>
      <c r="B49" s="140" t="s">
        <v>1208</v>
      </c>
      <c r="C49" s="139" t="s">
        <v>1209</v>
      </c>
      <c r="D49" s="139" t="s">
        <v>1210</v>
      </c>
      <c r="E49" s="141"/>
      <c r="F49" s="141"/>
      <c r="G49" s="141"/>
      <c r="H49" s="141"/>
      <c r="I49" s="141"/>
      <c r="J49" s="143"/>
      <c r="K49" s="143"/>
      <c r="L49" s="143"/>
      <c r="M49" s="143"/>
    </row>
    <row r="50" customFormat="false" ht="21" hidden="false" customHeight="true" outlineLevel="0" collapsed="false">
      <c r="A50" s="144" t="s">
        <v>1211</v>
      </c>
      <c r="B50" s="145" t="s">
        <v>1212</v>
      </c>
      <c r="C50" s="144" t="s">
        <v>1213</v>
      </c>
      <c r="D50" s="144" t="s">
        <v>1214</v>
      </c>
      <c r="E50" s="146"/>
      <c r="F50" s="146"/>
      <c r="G50" s="146"/>
      <c r="H50" s="146"/>
      <c r="I50" s="146"/>
      <c r="J50" s="148"/>
      <c r="K50" s="148"/>
      <c r="L50" s="148"/>
      <c r="M50" s="148"/>
    </row>
    <row r="51" customFormat="false" ht="21" hidden="false" customHeight="true" outlineLevel="0" collapsed="false">
      <c r="A51" s="139" t="s">
        <v>909</v>
      </c>
      <c r="B51" s="140" t="s">
        <v>1215</v>
      </c>
      <c r="C51" s="139" t="s">
        <v>1216</v>
      </c>
      <c r="D51" s="139" t="s">
        <v>1217</v>
      </c>
      <c r="E51" s="141"/>
      <c r="F51" s="141"/>
      <c r="G51" s="141"/>
      <c r="H51" s="141"/>
      <c r="I51" s="141"/>
      <c r="J51" s="143"/>
      <c r="K51" s="143"/>
      <c r="L51" s="143"/>
      <c r="M51" s="143"/>
    </row>
    <row r="52" customFormat="false" ht="21" hidden="false" customHeight="true" outlineLevel="0" collapsed="false">
      <c r="A52" s="144" t="s">
        <v>909</v>
      </c>
      <c r="B52" s="145" t="s">
        <v>1218</v>
      </c>
      <c r="C52" s="144" t="s">
        <v>1219</v>
      </c>
      <c r="D52" s="144" t="s">
        <v>1220</v>
      </c>
      <c r="E52" s="146"/>
      <c r="F52" s="146"/>
      <c r="G52" s="146"/>
      <c r="H52" s="146"/>
      <c r="I52" s="146"/>
      <c r="J52" s="148"/>
      <c r="K52" s="148"/>
      <c r="L52" s="148"/>
      <c r="M52" s="148"/>
    </row>
    <row r="53" customFormat="false" ht="21" hidden="false" customHeight="true" outlineLevel="0" collapsed="false">
      <c r="A53" s="139" t="s">
        <v>909</v>
      </c>
      <c r="B53" s="140" t="s">
        <v>1215</v>
      </c>
      <c r="C53" s="139" t="s">
        <v>1216</v>
      </c>
      <c r="D53" s="139" t="s">
        <v>1217</v>
      </c>
      <c r="E53" s="141"/>
      <c r="F53" s="141"/>
      <c r="G53" s="141"/>
      <c r="H53" s="141"/>
      <c r="I53" s="141"/>
      <c r="J53" s="143"/>
      <c r="K53" s="143"/>
      <c r="L53" s="143"/>
      <c r="M53" s="143"/>
    </row>
    <row r="54" customFormat="false" ht="21" hidden="false" customHeight="true" outlineLevel="0" collapsed="false">
      <c r="A54" s="146"/>
      <c r="B54" s="165"/>
      <c r="C54" s="146"/>
      <c r="D54" s="146"/>
      <c r="E54" s="146"/>
      <c r="F54" s="146"/>
      <c r="G54" s="146"/>
      <c r="H54" s="146"/>
      <c r="I54" s="146"/>
    </row>
    <row r="55" customFormat="false" ht="21" hidden="false" customHeight="true" outlineLevel="0" collapsed="false">
      <c r="A55" s="141"/>
      <c r="B55" s="150"/>
      <c r="C55" s="141"/>
      <c r="D55" s="141"/>
      <c r="E55" s="141"/>
      <c r="F55" s="141"/>
      <c r="G55" s="141"/>
      <c r="H55" s="141"/>
      <c r="I55" s="141"/>
    </row>
    <row r="56" customFormat="false" ht="21" hidden="false" customHeight="true" outlineLevel="0" collapsed="false">
      <c r="A56" s="146"/>
      <c r="B56" s="165"/>
      <c r="C56" s="146"/>
      <c r="D56" s="146"/>
      <c r="E56" s="146"/>
      <c r="F56" s="146"/>
      <c r="G56" s="146"/>
      <c r="H56" s="146"/>
      <c r="I56" s="146"/>
    </row>
    <row r="57" customFormat="false" ht="21" hidden="false" customHeight="true" outlineLevel="0" collapsed="false">
      <c r="A57" s="141"/>
      <c r="B57" s="150"/>
      <c r="C57" s="141"/>
      <c r="D57" s="141"/>
      <c r="E57" s="141"/>
      <c r="F57" s="141"/>
      <c r="G57" s="141"/>
      <c r="H57" s="141"/>
      <c r="I57" s="141"/>
    </row>
  </sheetData>
  <mergeCells count="2">
    <mergeCell ref="B1:C1"/>
    <mergeCell ref="G1:J1"/>
  </mergeCells>
  <hyperlinks>
    <hyperlink ref="D1" location="'INÍCIO'!A1" display="⌂  Início"/>
    <hyperlink ref="E1" location="'DASHBOARD EXECUTIVO'!A1" display="▦  Dashboard"/>
    <hyperlink ref="F1" location="'OUTROS CONTROLES'!A1" display="▤  Outros"/>
    <hyperlink ref="B3" r:id="rId1" display="BRK-INS-01-014678-PT "/>
    <hyperlink ref="C3" r:id="rId2" display="IT 5020-02302 "/>
    <hyperlink ref="C4" r:id="rId3" display="IT 5020-02364 "/>
    <hyperlink ref="C5" r:id="rId4" display="IT 5020-02365 "/>
    <hyperlink ref="C6" r:id="rId5" display="IT 6020-00839 "/>
    <hyperlink ref="C7" r:id="rId6" display="DE 1100-00001 "/>
    <hyperlink ref="D7" r:id="rId7" display="DOCUMETAÇÃO INTERNA"/>
    <hyperlink ref="B12" r:id="rId8" display="BRK-PRO-01-001525-PT "/>
    <hyperlink ref="D13" r:id="rId9" display="TRATAMENTO DE DESVIOS DE FORNECEDORES"/>
    <hyperlink ref="D23" r:id="rId10" display="VALIDAÇÃO E ESTIMATIVA DE INCERTEZA DE MÉTODOS ANALÍTICOS E CALIBRAÇÕES"/>
    <hyperlink ref="D25" r:id="rId11" display="PROGRAMA DE SSMA VISAO"/>
    <hyperlink ref="D28" r:id="rId12" display="ANÁLISE E GERENCIAMENTO DE PERIGOS E RISCOS"/>
    <hyperlink ref="D29" r:id="rId13" display="ANÁLISE DA SEGURANÇA DA TAREFA (AST)"/>
    <hyperlink ref="B33" r:id="rId14" display="BRK-FOR-01-013518-PT "/>
    <hyperlink ref="D33" r:id="rId15" display="ROTULAGEM PARA PRODUTOS QUIMICOS PERIGOSOS"/>
    <hyperlink ref="D34" r:id="rId16" display="BOAS PRÁTICAS DE FABRICAÇÃO"/>
    <hyperlink ref="D44" r:id="rId17" display="GERENCIAMENTO DE MUDANÇAS"/>
    <hyperlink ref="D47" r:id="rId18" display="POLÍTICA DE INVESTIMENTOS"/>
    <hyperlink ref="D50" r:id="rId19" display="SISTEMÁTICA FEL DE IMPLANTAÇÃO DE PROJETO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"/>
  <tableParts>
    <tablePart r:id="rId2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3"/>
    <pageSetUpPr fitToPage="false"/>
  </sheetPr>
  <dimension ref="A1:M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2890625" defaultRowHeight="15" zeroHeight="false" outlineLevelRow="0" outlineLevelCol="0"/>
  <cols>
    <col collapsed="false" customWidth="true" hidden="false" outlineLevel="0" max="1" min="1" style="168" width="70"/>
    <col collapsed="false" customWidth="true" hidden="false" outlineLevel="0" max="2" min="2" style="166" width="17"/>
    <col collapsed="false" customWidth="true" hidden="false" outlineLevel="0" max="3" min="3" style="166" width="14"/>
    <col collapsed="false" customWidth="true" hidden="false" outlineLevel="0" max="4" min="4" style="166" width="17"/>
    <col collapsed="false" customWidth="true" hidden="false" outlineLevel="0" max="6" min="5" style="166" width="30"/>
    <col collapsed="false" customWidth="true" hidden="false" outlineLevel="0" max="7" min="7" style="166" width="41"/>
    <col collapsed="false" customWidth="true" hidden="false" outlineLevel="0" max="10" min="8" style="0" width="10"/>
    <col collapsed="false" customWidth="true" hidden="false" outlineLevel="0" max="11" min="11" style="166" width="41"/>
    <col collapsed="false" customWidth="true" hidden="false" outlineLevel="0" max="12" min="12" style="0" width="3"/>
    <col collapsed="false" customWidth="true" hidden="false" outlineLevel="0" max="13" min="13" style="0" width="15"/>
    <col collapsed="false" customWidth="false" hidden="false" outlineLevel="0" max="16384" min="14" style="166" width="9.29"/>
  </cols>
  <sheetData>
    <row r="1" s="173" customFormat="true" ht="39.75" hidden="false" customHeight="true" outlineLevel="0" collapsed="false">
      <c r="A1" s="180"/>
      <c r="B1" s="135" t="s">
        <v>1221</v>
      </c>
      <c r="C1" s="135"/>
      <c r="D1" s="135"/>
      <c r="E1" s="55" t="s">
        <v>64</v>
      </c>
      <c r="F1" s="55" t="s">
        <v>65</v>
      </c>
      <c r="G1" s="55" t="s">
        <v>69</v>
      </c>
      <c r="H1" s="136" t="str">
        <f aca="false">COUNTA($B$3:$B$124)&amp;" registros"</f>
        <v>122 registros</v>
      </c>
      <c r="I1" s="136"/>
      <c r="J1" s="136"/>
      <c r="K1" s="136"/>
      <c r="L1" s="136"/>
      <c r="M1" s="181"/>
    </row>
    <row r="2" s="182" customFormat="true" ht="31.5" hidden="false" customHeight="true" outlineLevel="0" collapsed="false">
      <c r="A2" s="105" t="s">
        <v>774</v>
      </c>
      <c r="B2" s="105" t="s">
        <v>1069</v>
      </c>
      <c r="C2" s="105" t="s">
        <v>1222</v>
      </c>
      <c r="D2" s="105" t="s">
        <v>88</v>
      </c>
      <c r="E2" s="105" t="s">
        <v>1223</v>
      </c>
      <c r="F2" s="105" t="s">
        <v>947</v>
      </c>
      <c r="G2" s="105" t="s">
        <v>144</v>
      </c>
      <c r="H2" s="105"/>
      <c r="I2" s="105"/>
      <c r="J2" s="105"/>
      <c r="K2" s="105" t="s">
        <v>1070</v>
      </c>
      <c r="L2" s="137"/>
      <c r="M2" s="137"/>
    </row>
    <row r="3" customFormat="false" ht="21" hidden="false" customHeight="true" outlineLevel="0" collapsed="false">
      <c r="A3" s="139" t="s">
        <v>1224</v>
      </c>
      <c r="B3" s="139" t="s">
        <v>1225</v>
      </c>
      <c r="C3" s="153" t="s">
        <v>1226</v>
      </c>
      <c r="D3" s="153" t="s">
        <v>1227</v>
      </c>
      <c r="E3" s="139" t="s">
        <v>1228</v>
      </c>
      <c r="F3" s="139" t="s">
        <v>1229</v>
      </c>
      <c r="G3" s="141"/>
      <c r="H3" s="141"/>
      <c r="I3" s="141"/>
      <c r="J3" s="141"/>
      <c r="K3" s="139" t="s">
        <v>1074</v>
      </c>
      <c r="L3" s="143"/>
      <c r="M3" s="143"/>
    </row>
    <row r="4" customFormat="false" ht="21" hidden="false" customHeight="true" outlineLevel="0" collapsed="false">
      <c r="A4" s="144" t="s">
        <v>1230</v>
      </c>
      <c r="B4" s="144" t="s">
        <v>1231</v>
      </c>
      <c r="C4" s="162" t="s">
        <v>1232</v>
      </c>
      <c r="D4" s="183" t="s">
        <v>1227</v>
      </c>
      <c r="E4" s="144" t="s">
        <v>1228</v>
      </c>
      <c r="F4" s="144" t="s">
        <v>1229</v>
      </c>
      <c r="G4" s="146"/>
      <c r="H4" s="146"/>
      <c r="I4" s="146"/>
      <c r="J4" s="146"/>
      <c r="K4" s="144" t="s">
        <v>1074</v>
      </c>
      <c r="L4" s="148"/>
      <c r="M4" s="148"/>
    </row>
    <row r="5" customFormat="false" ht="21" hidden="false" customHeight="true" outlineLevel="0" collapsed="false">
      <c r="A5" s="139" t="s">
        <v>1233</v>
      </c>
      <c r="B5" s="139" t="s">
        <v>1234</v>
      </c>
      <c r="C5" s="153" t="s">
        <v>1235</v>
      </c>
      <c r="D5" s="153" t="s">
        <v>1227</v>
      </c>
      <c r="E5" s="139" t="s">
        <v>1228</v>
      </c>
      <c r="F5" s="139" t="s">
        <v>1229</v>
      </c>
      <c r="G5" s="141"/>
      <c r="H5" s="141"/>
      <c r="I5" s="141"/>
      <c r="J5" s="141"/>
      <c r="K5" s="139" t="s">
        <v>1074</v>
      </c>
      <c r="L5" s="143"/>
      <c r="M5" s="143"/>
    </row>
    <row r="6" customFormat="false" ht="21" hidden="false" customHeight="true" outlineLevel="0" collapsed="false">
      <c r="A6" s="144" t="s">
        <v>1236</v>
      </c>
      <c r="B6" s="144" t="s">
        <v>1237</v>
      </c>
      <c r="C6" s="162" t="s">
        <v>1238</v>
      </c>
      <c r="D6" s="183" t="s">
        <v>1227</v>
      </c>
      <c r="E6" s="144" t="s">
        <v>1228</v>
      </c>
      <c r="F6" s="144" t="s">
        <v>1229</v>
      </c>
      <c r="G6" s="146"/>
      <c r="H6" s="146"/>
      <c r="I6" s="146"/>
      <c r="J6" s="146"/>
      <c r="K6" s="144" t="s">
        <v>1074</v>
      </c>
      <c r="L6" s="148"/>
      <c r="M6" s="148"/>
    </row>
    <row r="7" customFormat="false" ht="21" hidden="false" customHeight="true" outlineLevel="0" collapsed="false">
      <c r="A7" s="139" t="s">
        <v>1239</v>
      </c>
      <c r="B7" s="139" t="s">
        <v>1240</v>
      </c>
      <c r="C7" s="153" t="s">
        <v>1241</v>
      </c>
      <c r="D7" s="153" t="s">
        <v>1227</v>
      </c>
      <c r="E7" s="139" t="s">
        <v>1228</v>
      </c>
      <c r="F7" s="139" t="s">
        <v>1229</v>
      </c>
      <c r="G7" s="141"/>
      <c r="H7" s="141"/>
      <c r="I7" s="141"/>
      <c r="J7" s="141"/>
      <c r="K7" s="139" t="s">
        <v>1074</v>
      </c>
      <c r="L7" s="143"/>
      <c r="M7" s="143"/>
    </row>
    <row r="8" s="178" customFormat="true" ht="21" hidden="false" customHeight="true" outlineLevel="0" collapsed="false">
      <c r="A8" s="144" t="s">
        <v>1242</v>
      </c>
      <c r="B8" s="144" t="s">
        <v>1243</v>
      </c>
      <c r="C8" s="162" t="s">
        <v>1244</v>
      </c>
      <c r="D8" s="183" t="s">
        <v>1227</v>
      </c>
      <c r="E8" s="144" t="s">
        <v>1228</v>
      </c>
      <c r="F8" s="144" t="s">
        <v>1229</v>
      </c>
      <c r="G8" s="146"/>
      <c r="H8" s="146"/>
      <c r="I8" s="146"/>
      <c r="J8" s="146"/>
      <c r="K8" s="144" t="s">
        <v>1074</v>
      </c>
      <c r="L8" s="148"/>
      <c r="M8" s="148"/>
    </row>
    <row r="9" s="178" customFormat="true" ht="21" hidden="false" customHeight="true" outlineLevel="0" collapsed="false">
      <c r="A9" s="139" t="s">
        <v>1245</v>
      </c>
      <c r="B9" s="139" t="s">
        <v>1246</v>
      </c>
      <c r="C9" s="153" t="s">
        <v>1247</v>
      </c>
      <c r="D9" s="153" t="s">
        <v>1227</v>
      </c>
      <c r="E9" s="139" t="s">
        <v>1228</v>
      </c>
      <c r="F9" s="139" t="s">
        <v>1229</v>
      </c>
      <c r="G9" s="141"/>
      <c r="H9" s="141"/>
      <c r="I9" s="141"/>
      <c r="J9" s="141"/>
      <c r="K9" s="139" t="s">
        <v>1074</v>
      </c>
      <c r="L9" s="143"/>
      <c r="M9" s="143"/>
    </row>
    <row r="10" s="178" customFormat="true" ht="21" hidden="false" customHeight="true" outlineLevel="0" collapsed="false">
      <c r="A10" s="144" t="s">
        <v>1248</v>
      </c>
      <c r="B10" s="144" t="s">
        <v>1249</v>
      </c>
      <c r="C10" s="162" t="s">
        <v>1250</v>
      </c>
      <c r="D10" s="183" t="s">
        <v>1227</v>
      </c>
      <c r="E10" s="144" t="s">
        <v>1228</v>
      </c>
      <c r="F10" s="144" t="s">
        <v>1229</v>
      </c>
      <c r="G10" s="146"/>
      <c r="H10" s="146"/>
      <c r="I10" s="146"/>
      <c r="J10" s="146"/>
      <c r="K10" s="146"/>
      <c r="L10" s="148"/>
      <c r="M10" s="148"/>
    </row>
    <row r="11" s="178" customFormat="true" ht="21" hidden="false" customHeight="true" outlineLevel="0" collapsed="false">
      <c r="A11" s="139" t="s">
        <v>1251</v>
      </c>
      <c r="B11" s="139" t="s">
        <v>1252</v>
      </c>
      <c r="C11" s="153" t="s">
        <v>1253</v>
      </c>
      <c r="D11" s="153" t="s">
        <v>1227</v>
      </c>
      <c r="E11" s="139" t="s">
        <v>1228</v>
      </c>
      <c r="F11" s="139" t="s">
        <v>1229</v>
      </c>
      <c r="G11" s="141"/>
      <c r="H11" s="141"/>
      <c r="I11" s="141"/>
      <c r="J11" s="141"/>
      <c r="K11" s="139" t="s">
        <v>1074</v>
      </c>
      <c r="L11" s="143"/>
      <c r="M11" s="143"/>
    </row>
    <row r="12" s="178" customFormat="true" ht="21" hidden="false" customHeight="true" outlineLevel="0" collapsed="false">
      <c r="A12" s="144" t="s">
        <v>1254</v>
      </c>
      <c r="B12" s="144" t="s">
        <v>1255</v>
      </c>
      <c r="C12" s="162" t="s">
        <v>1256</v>
      </c>
      <c r="D12" s="183" t="s">
        <v>1227</v>
      </c>
      <c r="E12" s="144" t="s">
        <v>1228</v>
      </c>
      <c r="F12" s="144" t="s">
        <v>1229</v>
      </c>
      <c r="G12" s="146"/>
      <c r="H12" s="146"/>
      <c r="I12" s="146"/>
      <c r="J12" s="146"/>
      <c r="K12" s="144" t="s">
        <v>1074</v>
      </c>
      <c r="L12" s="148"/>
      <c r="M12" s="148"/>
    </row>
    <row r="13" s="178" customFormat="true" ht="21" hidden="false" customHeight="true" outlineLevel="0" collapsed="false">
      <c r="A13" s="139" t="s">
        <v>1257</v>
      </c>
      <c r="B13" s="139" t="s">
        <v>1258</v>
      </c>
      <c r="C13" s="153" t="s">
        <v>1259</v>
      </c>
      <c r="D13" s="153" t="s">
        <v>1227</v>
      </c>
      <c r="E13" s="139" t="s">
        <v>1228</v>
      </c>
      <c r="F13" s="139" t="s">
        <v>1229</v>
      </c>
      <c r="G13" s="141"/>
      <c r="H13" s="141"/>
      <c r="I13" s="141"/>
      <c r="J13" s="141"/>
      <c r="K13" s="139" t="s">
        <v>1074</v>
      </c>
      <c r="L13" s="143"/>
      <c r="M13" s="143"/>
    </row>
    <row r="14" s="178" customFormat="true" ht="21" hidden="false" customHeight="true" outlineLevel="0" collapsed="false">
      <c r="A14" s="144" t="s">
        <v>1260</v>
      </c>
      <c r="B14" s="144" t="s">
        <v>1261</v>
      </c>
      <c r="C14" s="162" t="s">
        <v>1262</v>
      </c>
      <c r="D14" s="183" t="s">
        <v>1227</v>
      </c>
      <c r="E14" s="144" t="s">
        <v>1228</v>
      </c>
      <c r="F14" s="144" t="s">
        <v>1229</v>
      </c>
      <c r="G14" s="146"/>
      <c r="H14" s="146"/>
      <c r="I14" s="146"/>
      <c r="J14" s="146"/>
      <c r="K14" s="144" t="s">
        <v>1111</v>
      </c>
      <c r="L14" s="148"/>
      <c r="M14" s="148"/>
    </row>
    <row r="15" s="178" customFormat="true" ht="21" hidden="false" customHeight="true" outlineLevel="0" collapsed="false">
      <c r="A15" s="139" t="s">
        <v>1263</v>
      </c>
      <c r="B15" s="139" t="s">
        <v>1264</v>
      </c>
      <c r="C15" s="153" t="s">
        <v>1265</v>
      </c>
      <c r="D15" s="153" t="s">
        <v>1266</v>
      </c>
      <c r="E15" s="139" t="s">
        <v>1228</v>
      </c>
      <c r="F15" s="139" t="s">
        <v>1229</v>
      </c>
      <c r="G15" s="141"/>
      <c r="H15" s="141"/>
      <c r="I15" s="141"/>
      <c r="J15" s="141"/>
      <c r="K15" s="139" t="s">
        <v>1111</v>
      </c>
      <c r="L15" s="143"/>
      <c r="M15" s="143"/>
    </row>
    <row r="16" s="178" customFormat="true" ht="21" hidden="false" customHeight="true" outlineLevel="0" collapsed="false">
      <c r="A16" s="144" t="s">
        <v>1267</v>
      </c>
      <c r="B16" s="144" t="s">
        <v>1268</v>
      </c>
      <c r="C16" s="162" t="s">
        <v>1265</v>
      </c>
      <c r="D16" s="183" t="s">
        <v>1266</v>
      </c>
      <c r="E16" s="144" t="s">
        <v>1228</v>
      </c>
      <c r="F16" s="144" t="s">
        <v>1229</v>
      </c>
      <c r="G16" s="146"/>
      <c r="H16" s="146"/>
      <c r="I16" s="146"/>
      <c r="J16" s="146"/>
      <c r="K16" s="144" t="s">
        <v>1111</v>
      </c>
      <c r="L16" s="148"/>
      <c r="M16" s="148"/>
    </row>
    <row r="17" s="178" customFormat="true" ht="21" hidden="false" customHeight="true" outlineLevel="0" collapsed="false">
      <c r="A17" s="139" t="s">
        <v>1269</v>
      </c>
      <c r="B17" s="139" t="s">
        <v>1270</v>
      </c>
      <c r="C17" s="153" t="s">
        <v>1271</v>
      </c>
      <c r="D17" s="153" t="s">
        <v>1266</v>
      </c>
      <c r="E17" s="139" t="s">
        <v>1228</v>
      </c>
      <c r="F17" s="139" t="s">
        <v>1229</v>
      </c>
      <c r="G17" s="141"/>
      <c r="H17" s="141"/>
      <c r="I17" s="141"/>
      <c r="J17" s="141"/>
      <c r="K17" s="139" t="s">
        <v>1139</v>
      </c>
      <c r="L17" s="143"/>
      <c r="M17" s="143"/>
    </row>
    <row r="18" s="178" customFormat="true" ht="21" hidden="false" customHeight="true" outlineLevel="0" collapsed="false">
      <c r="A18" s="144" t="s">
        <v>1272</v>
      </c>
      <c r="B18" s="144" t="s">
        <v>1273</v>
      </c>
      <c r="C18" s="162" t="s">
        <v>1274</v>
      </c>
      <c r="D18" s="183" t="s">
        <v>1266</v>
      </c>
      <c r="E18" s="144" t="s">
        <v>1228</v>
      </c>
      <c r="F18" s="144" t="s">
        <v>1229</v>
      </c>
      <c r="G18" s="146"/>
      <c r="H18" s="146"/>
      <c r="I18" s="146"/>
      <c r="J18" s="146"/>
      <c r="K18" s="144" t="s">
        <v>1139</v>
      </c>
      <c r="L18" s="148"/>
      <c r="M18" s="148"/>
    </row>
    <row r="19" s="178" customFormat="true" ht="21" hidden="false" customHeight="true" outlineLevel="0" collapsed="false">
      <c r="A19" s="139" t="s">
        <v>1275</v>
      </c>
      <c r="B19" s="139" t="s">
        <v>1276</v>
      </c>
      <c r="C19" s="153" t="s">
        <v>1277</v>
      </c>
      <c r="D19" s="153" t="s">
        <v>1266</v>
      </c>
      <c r="E19" s="139" t="s">
        <v>1228</v>
      </c>
      <c r="F19" s="139" t="s">
        <v>1229</v>
      </c>
      <c r="G19" s="141"/>
      <c r="H19" s="141"/>
      <c r="I19" s="141"/>
      <c r="J19" s="141"/>
      <c r="K19" s="139" t="s">
        <v>1139</v>
      </c>
      <c r="L19" s="143"/>
      <c r="M19" s="143"/>
    </row>
    <row r="20" s="178" customFormat="true" ht="21" hidden="false" customHeight="true" outlineLevel="0" collapsed="false">
      <c r="A20" s="144" t="s">
        <v>1278</v>
      </c>
      <c r="B20" s="144" t="s">
        <v>1279</v>
      </c>
      <c r="C20" s="162" t="s">
        <v>1280</v>
      </c>
      <c r="D20" s="183" t="s">
        <v>1266</v>
      </c>
      <c r="E20" s="144" t="s">
        <v>1281</v>
      </c>
      <c r="F20" s="144" t="s">
        <v>1282</v>
      </c>
      <c r="G20" s="146"/>
      <c r="H20" s="146"/>
      <c r="I20" s="146"/>
      <c r="J20" s="146"/>
      <c r="K20" s="146"/>
      <c r="L20" s="148"/>
      <c r="M20" s="148"/>
    </row>
    <row r="21" s="178" customFormat="true" ht="21" hidden="false" customHeight="true" outlineLevel="0" collapsed="false">
      <c r="A21" s="139" t="s">
        <v>1283</v>
      </c>
      <c r="B21" s="139" t="s">
        <v>1284</v>
      </c>
      <c r="C21" s="153" t="s">
        <v>1277</v>
      </c>
      <c r="D21" s="153" t="s">
        <v>1266</v>
      </c>
      <c r="E21" s="139" t="s">
        <v>1228</v>
      </c>
      <c r="F21" s="139" t="s">
        <v>1229</v>
      </c>
      <c r="G21" s="141"/>
      <c r="H21" s="141"/>
      <c r="I21" s="141"/>
      <c r="J21" s="141"/>
      <c r="K21" s="141"/>
      <c r="L21" s="143"/>
      <c r="M21" s="143"/>
    </row>
    <row r="22" s="178" customFormat="true" ht="21" hidden="false" customHeight="true" outlineLevel="0" collapsed="false">
      <c r="A22" s="144" t="s">
        <v>1285</v>
      </c>
      <c r="B22" s="144" t="s">
        <v>1286</v>
      </c>
      <c r="C22" s="162" t="s">
        <v>1277</v>
      </c>
      <c r="D22" s="183" t="s">
        <v>1266</v>
      </c>
      <c r="E22" s="144" t="s">
        <v>1228</v>
      </c>
      <c r="F22" s="144" t="s">
        <v>1229</v>
      </c>
      <c r="G22" s="146"/>
      <c r="H22" s="146"/>
      <c r="I22" s="146"/>
      <c r="J22" s="146"/>
      <c r="K22" s="146"/>
      <c r="L22" s="148"/>
      <c r="M22" s="148"/>
    </row>
    <row r="23" s="178" customFormat="true" ht="21" hidden="false" customHeight="true" outlineLevel="0" collapsed="false">
      <c r="A23" s="139" t="s">
        <v>1287</v>
      </c>
      <c r="B23" s="139" t="s">
        <v>1288</v>
      </c>
      <c r="C23" s="153" t="s">
        <v>1289</v>
      </c>
      <c r="D23" s="153" t="s">
        <v>1266</v>
      </c>
      <c r="E23" s="139" t="s">
        <v>1228</v>
      </c>
      <c r="F23" s="139" t="s">
        <v>1229</v>
      </c>
      <c r="G23" s="141"/>
      <c r="H23" s="141"/>
      <c r="I23" s="141"/>
      <c r="J23" s="141"/>
      <c r="K23" s="141"/>
      <c r="L23" s="143"/>
      <c r="M23" s="143"/>
    </row>
    <row r="24" s="178" customFormat="true" ht="21" hidden="false" customHeight="true" outlineLevel="0" collapsed="false">
      <c r="A24" s="144" t="s">
        <v>1290</v>
      </c>
      <c r="B24" s="144" t="s">
        <v>1291</v>
      </c>
      <c r="C24" s="162" t="s">
        <v>1280</v>
      </c>
      <c r="D24" s="183" t="s">
        <v>1266</v>
      </c>
      <c r="E24" s="144" t="s">
        <v>1228</v>
      </c>
      <c r="F24" s="144" t="s">
        <v>1229</v>
      </c>
      <c r="G24" s="146"/>
      <c r="H24" s="146"/>
      <c r="I24" s="146"/>
      <c r="J24" s="146"/>
      <c r="K24" s="146"/>
      <c r="L24" s="148"/>
      <c r="M24" s="148"/>
    </row>
    <row r="25" s="178" customFormat="true" ht="21" hidden="false" customHeight="true" outlineLevel="0" collapsed="false">
      <c r="A25" s="139" t="s">
        <v>1292</v>
      </c>
      <c r="B25" s="139" t="s">
        <v>1293</v>
      </c>
      <c r="C25" s="153" t="s">
        <v>1294</v>
      </c>
      <c r="D25" s="153" t="s">
        <v>1266</v>
      </c>
      <c r="E25" s="139" t="s">
        <v>1228</v>
      </c>
      <c r="F25" s="139" t="s">
        <v>1229</v>
      </c>
      <c r="G25" s="141"/>
      <c r="H25" s="141"/>
      <c r="I25" s="141"/>
      <c r="J25" s="141"/>
      <c r="K25" s="141"/>
      <c r="L25" s="143"/>
      <c r="M25" s="143"/>
    </row>
    <row r="26" s="178" customFormat="true" ht="21" hidden="false" customHeight="true" outlineLevel="0" collapsed="false">
      <c r="A26" s="144" t="s">
        <v>1295</v>
      </c>
      <c r="B26" s="144" t="s">
        <v>1296</v>
      </c>
      <c r="C26" s="162" t="s">
        <v>1297</v>
      </c>
      <c r="D26" s="183" t="s">
        <v>1266</v>
      </c>
      <c r="E26" s="144" t="s">
        <v>1228</v>
      </c>
      <c r="F26" s="144" t="s">
        <v>1229</v>
      </c>
      <c r="G26" s="146"/>
      <c r="H26" s="146"/>
      <c r="I26" s="146"/>
      <c r="J26" s="146"/>
      <c r="K26" s="146"/>
      <c r="L26" s="148"/>
      <c r="M26" s="148"/>
    </row>
    <row r="27" s="178" customFormat="true" ht="21" hidden="false" customHeight="true" outlineLevel="0" collapsed="false">
      <c r="A27" s="139" t="s">
        <v>1298</v>
      </c>
      <c r="B27" s="139" t="s">
        <v>1299</v>
      </c>
      <c r="C27" s="153" t="s">
        <v>1300</v>
      </c>
      <c r="D27" s="153" t="s">
        <v>1266</v>
      </c>
      <c r="E27" s="139" t="s">
        <v>1228</v>
      </c>
      <c r="F27" s="139" t="s">
        <v>1229</v>
      </c>
      <c r="G27" s="141"/>
      <c r="H27" s="141"/>
      <c r="I27" s="141"/>
      <c r="J27" s="141"/>
      <c r="K27" s="141"/>
      <c r="L27" s="143"/>
      <c r="M27" s="143"/>
    </row>
    <row r="28" customFormat="false" ht="21" hidden="false" customHeight="true" outlineLevel="0" collapsed="false">
      <c r="A28" s="144" t="s">
        <v>1301</v>
      </c>
      <c r="B28" s="144" t="s">
        <v>1302</v>
      </c>
      <c r="C28" s="162" t="s">
        <v>1303</v>
      </c>
      <c r="D28" s="183" t="s">
        <v>1266</v>
      </c>
      <c r="E28" s="144" t="s">
        <v>1228</v>
      </c>
      <c r="F28" s="144" t="s">
        <v>1229</v>
      </c>
      <c r="G28" s="146"/>
      <c r="H28" s="146"/>
      <c r="I28" s="146"/>
      <c r="J28" s="146"/>
      <c r="K28" s="146"/>
      <c r="L28" s="148"/>
      <c r="M28" s="148"/>
    </row>
    <row r="29" s="178" customFormat="true" ht="21" hidden="false" customHeight="true" outlineLevel="0" collapsed="false">
      <c r="A29" s="139" t="s">
        <v>1304</v>
      </c>
      <c r="B29" s="139" t="s">
        <v>1305</v>
      </c>
      <c r="C29" s="142" t="n">
        <v>41892</v>
      </c>
      <c r="D29" s="153" t="s">
        <v>1306</v>
      </c>
      <c r="E29" s="139" t="s">
        <v>1228</v>
      </c>
      <c r="F29" s="139" t="s">
        <v>1229</v>
      </c>
      <c r="G29" s="141"/>
      <c r="H29" s="141"/>
      <c r="I29" s="141"/>
      <c r="J29" s="141"/>
      <c r="K29" s="141"/>
      <c r="L29" s="143"/>
      <c r="M29" s="143"/>
    </row>
    <row r="30" s="178" customFormat="true" ht="21" hidden="false" customHeight="true" outlineLevel="0" collapsed="false">
      <c r="A30" s="144" t="s">
        <v>1307</v>
      </c>
      <c r="B30" s="144" t="s">
        <v>1308</v>
      </c>
      <c r="C30" s="162" t="s">
        <v>1309</v>
      </c>
      <c r="D30" s="183" t="s">
        <v>1266</v>
      </c>
      <c r="E30" s="144" t="s">
        <v>1228</v>
      </c>
      <c r="F30" s="144" t="s">
        <v>1229</v>
      </c>
      <c r="G30" s="146"/>
      <c r="H30" s="146"/>
      <c r="I30" s="146"/>
      <c r="J30" s="146"/>
      <c r="K30" s="146"/>
      <c r="L30" s="148"/>
      <c r="M30" s="148"/>
    </row>
    <row r="31" s="178" customFormat="true" ht="21" hidden="false" customHeight="true" outlineLevel="0" collapsed="false">
      <c r="A31" s="139" t="s">
        <v>1310</v>
      </c>
      <c r="B31" s="139" t="s">
        <v>1311</v>
      </c>
      <c r="C31" s="153" t="s">
        <v>1312</v>
      </c>
      <c r="D31" s="153" t="s">
        <v>1313</v>
      </c>
      <c r="E31" s="139" t="s">
        <v>1228</v>
      </c>
      <c r="F31" s="139" t="s">
        <v>1229</v>
      </c>
      <c r="G31" s="141"/>
      <c r="H31" s="141"/>
      <c r="I31" s="141"/>
      <c r="J31" s="141"/>
      <c r="K31" s="141"/>
      <c r="L31" s="143"/>
      <c r="M31" s="143"/>
    </row>
    <row r="32" s="178" customFormat="true" ht="21" hidden="false" customHeight="true" outlineLevel="0" collapsed="false">
      <c r="A32" s="144" t="s">
        <v>1314</v>
      </c>
      <c r="B32" s="144" t="s">
        <v>1315</v>
      </c>
      <c r="C32" s="162" t="s">
        <v>1312</v>
      </c>
      <c r="D32" s="183" t="s">
        <v>1316</v>
      </c>
      <c r="E32" s="144" t="s">
        <v>1228</v>
      </c>
      <c r="F32" s="144" t="s">
        <v>1229</v>
      </c>
      <c r="G32" s="146"/>
      <c r="H32" s="146"/>
      <c r="I32" s="146"/>
      <c r="J32" s="146"/>
      <c r="K32" s="146"/>
      <c r="L32" s="148"/>
      <c r="M32" s="148"/>
    </row>
    <row r="33" s="178" customFormat="true" ht="21" hidden="false" customHeight="true" outlineLevel="0" collapsed="false">
      <c r="A33" s="139" t="s">
        <v>1317</v>
      </c>
      <c r="B33" s="139" t="s">
        <v>1318</v>
      </c>
      <c r="C33" s="153" t="s">
        <v>1319</v>
      </c>
      <c r="D33" s="151" t="s">
        <v>1320</v>
      </c>
      <c r="E33" s="139" t="s">
        <v>1228</v>
      </c>
      <c r="F33" s="139" t="s">
        <v>1229</v>
      </c>
      <c r="G33" s="141"/>
      <c r="H33" s="141"/>
      <c r="I33" s="141"/>
      <c r="J33" s="141"/>
      <c r="K33" s="141"/>
      <c r="L33" s="143"/>
      <c r="M33" s="143"/>
    </row>
    <row r="34" s="178" customFormat="true" ht="21" hidden="false" customHeight="true" outlineLevel="0" collapsed="false">
      <c r="A34" s="144" t="s">
        <v>1321</v>
      </c>
      <c r="B34" s="144" t="s">
        <v>1322</v>
      </c>
      <c r="C34" s="162" t="s">
        <v>1323</v>
      </c>
      <c r="D34" s="184" t="s">
        <v>1320</v>
      </c>
      <c r="E34" s="144" t="s">
        <v>1228</v>
      </c>
      <c r="F34" s="144" t="s">
        <v>1229</v>
      </c>
      <c r="G34" s="146"/>
      <c r="H34" s="146"/>
      <c r="I34" s="146"/>
      <c r="J34" s="146"/>
      <c r="K34" s="146"/>
      <c r="L34" s="148"/>
      <c r="M34" s="148"/>
    </row>
    <row r="35" customFormat="false" ht="21" hidden="false" customHeight="true" outlineLevel="0" collapsed="false">
      <c r="A35" s="139" t="s">
        <v>1324</v>
      </c>
      <c r="B35" s="139" t="s">
        <v>1325</v>
      </c>
      <c r="C35" s="153" t="s">
        <v>1326</v>
      </c>
      <c r="D35" s="151" t="s">
        <v>1327</v>
      </c>
      <c r="E35" s="139" t="s">
        <v>1228</v>
      </c>
      <c r="F35" s="139" t="s">
        <v>1229</v>
      </c>
      <c r="G35" s="141"/>
      <c r="H35" s="141"/>
      <c r="I35" s="141"/>
      <c r="J35" s="141"/>
      <c r="K35" s="141"/>
      <c r="L35" s="143"/>
      <c r="M35" s="143"/>
    </row>
    <row r="36" customFormat="false" ht="21" hidden="false" customHeight="true" outlineLevel="0" collapsed="false">
      <c r="A36" s="144" t="s">
        <v>1328</v>
      </c>
      <c r="B36" s="144" t="s">
        <v>1329</v>
      </c>
      <c r="C36" s="162" t="s">
        <v>1326</v>
      </c>
      <c r="D36" s="184" t="s">
        <v>1327</v>
      </c>
      <c r="E36" s="144" t="s">
        <v>1228</v>
      </c>
      <c r="F36" s="144" t="s">
        <v>1229</v>
      </c>
      <c r="G36" s="146"/>
      <c r="H36" s="146"/>
      <c r="I36" s="146"/>
      <c r="J36" s="146"/>
      <c r="K36" s="146"/>
      <c r="L36" s="148"/>
      <c r="M36" s="148"/>
    </row>
    <row r="37" customFormat="false" ht="21" hidden="false" customHeight="true" outlineLevel="0" collapsed="false">
      <c r="A37" s="139" t="s">
        <v>1330</v>
      </c>
      <c r="B37" s="139" t="s">
        <v>1331</v>
      </c>
      <c r="C37" s="153" t="s">
        <v>1332</v>
      </c>
      <c r="D37" s="153" t="s">
        <v>1313</v>
      </c>
      <c r="E37" s="139" t="s">
        <v>1228</v>
      </c>
      <c r="F37" s="139" t="s">
        <v>1229</v>
      </c>
      <c r="G37" s="141"/>
      <c r="H37" s="141"/>
      <c r="I37" s="141"/>
      <c r="J37" s="141"/>
      <c r="K37" s="141"/>
      <c r="L37" s="143"/>
      <c r="M37" s="143"/>
    </row>
    <row r="38" customFormat="false" ht="21" hidden="false" customHeight="true" outlineLevel="0" collapsed="false">
      <c r="A38" s="144" t="s">
        <v>1333</v>
      </c>
      <c r="B38" s="144" t="s">
        <v>1334</v>
      </c>
      <c r="C38" s="162" t="s">
        <v>1335</v>
      </c>
      <c r="D38" s="184" t="s">
        <v>1336</v>
      </c>
      <c r="E38" s="144" t="s">
        <v>1228</v>
      </c>
      <c r="F38" s="144" t="s">
        <v>1229</v>
      </c>
      <c r="G38" s="146"/>
      <c r="H38" s="146"/>
      <c r="I38" s="146"/>
      <c r="J38" s="146"/>
      <c r="K38" s="146"/>
      <c r="L38" s="148"/>
      <c r="M38" s="148"/>
    </row>
    <row r="39" customFormat="false" ht="21" hidden="false" customHeight="true" outlineLevel="0" collapsed="false">
      <c r="A39" s="139" t="s">
        <v>1337</v>
      </c>
      <c r="B39" s="139" t="s">
        <v>1338</v>
      </c>
      <c r="C39" s="153" t="s">
        <v>1339</v>
      </c>
      <c r="D39" s="153" t="s">
        <v>1227</v>
      </c>
      <c r="E39" s="139" t="s">
        <v>1228</v>
      </c>
      <c r="F39" s="139" t="s">
        <v>1229</v>
      </c>
      <c r="G39" s="141"/>
      <c r="H39" s="141"/>
      <c r="I39" s="141"/>
      <c r="J39" s="141"/>
      <c r="K39" s="141"/>
      <c r="L39" s="143"/>
      <c r="M39" s="143"/>
    </row>
    <row r="40" customFormat="false" ht="21" hidden="false" customHeight="true" outlineLevel="0" collapsed="false">
      <c r="A40" s="144" t="s">
        <v>1340</v>
      </c>
      <c r="B40" s="144" t="s">
        <v>1341</v>
      </c>
      <c r="C40" s="162" t="s">
        <v>1342</v>
      </c>
      <c r="D40" s="184" t="s">
        <v>1336</v>
      </c>
      <c r="E40" s="144" t="s">
        <v>1228</v>
      </c>
      <c r="F40" s="144" t="s">
        <v>1229</v>
      </c>
      <c r="G40" s="146"/>
      <c r="H40" s="146"/>
      <c r="I40" s="146"/>
      <c r="J40" s="146"/>
      <c r="K40" s="146"/>
      <c r="L40" s="148"/>
      <c r="M40" s="148"/>
    </row>
    <row r="41" customFormat="false" ht="21" hidden="false" customHeight="true" outlineLevel="0" collapsed="false">
      <c r="A41" s="139" t="s">
        <v>1343</v>
      </c>
      <c r="B41" s="139" t="s">
        <v>1344</v>
      </c>
      <c r="C41" s="153" t="s">
        <v>1342</v>
      </c>
      <c r="D41" s="153" t="s">
        <v>1345</v>
      </c>
      <c r="E41" s="139" t="s">
        <v>1228</v>
      </c>
      <c r="F41" s="139" t="s">
        <v>1229</v>
      </c>
      <c r="G41" s="141"/>
      <c r="H41" s="141"/>
      <c r="I41" s="141"/>
      <c r="J41" s="141"/>
      <c r="K41" s="141"/>
      <c r="L41" s="143"/>
      <c r="M41" s="143"/>
    </row>
    <row r="42" customFormat="false" ht="21" hidden="false" customHeight="true" outlineLevel="0" collapsed="false">
      <c r="A42" s="144" t="s">
        <v>1346</v>
      </c>
      <c r="B42" s="144" t="s">
        <v>1347</v>
      </c>
      <c r="C42" s="162" t="s">
        <v>1348</v>
      </c>
      <c r="D42" s="183" t="s">
        <v>1227</v>
      </c>
      <c r="E42" s="144" t="s">
        <v>1228</v>
      </c>
      <c r="F42" s="144" t="s">
        <v>1229</v>
      </c>
      <c r="G42" s="146"/>
      <c r="H42" s="146"/>
      <c r="I42" s="146"/>
      <c r="J42" s="146"/>
      <c r="K42" s="146"/>
      <c r="L42" s="148"/>
      <c r="M42" s="148"/>
    </row>
    <row r="43" customFormat="false" ht="21" hidden="false" customHeight="true" outlineLevel="0" collapsed="false">
      <c r="A43" s="139" t="s">
        <v>1349</v>
      </c>
      <c r="B43" s="139" t="s">
        <v>1350</v>
      </c>
      <c r="C43" s="153" t="s">
        <v>1351</v>
      </c>
      <c r="D43" s="153" t="s">
        <v>1227</v>
      </c>
      <c r="E43" s="139" t="s">
        <v>1228</v>
      </c>
      <c r="F43" s="139" t="s">
        <v>1229</v>
      </c>
      <c r="G43" s="141"/>
      <c r="H43" s="141"/>
      <c r="I43" s="141"/>
      <c r="J43" s="141"/>
      <c r="K43" s="141"/>
      <c r="L43" s="143"/>
      <c r="M43" s="143"/>
    </row>
    <row r="44" customFormat="false" ht="21" hidden="false" customHeight="true" outlineLevel="0" collapsed="false">
      <c r="A44" s="144" t="s">
        <v>1352</v>
      </c>
      <c r="B44" s="144" t="s">
        <v>1353</v>
      </c>
      <c r="C44" s="162" t="s">
        <v>1351</v>
      </c>
      <c r="D44" s="183" t="s">
        <v>1227</v>
      </c>
      <c r="E44" s="144" t="s">
        <v>1228</v>
      </c>
      <c r="F44" s="144" t="s">
        <v>1229</v>
      </c>
      <c r="G44" s="146"/>
      <c r="H44" s="146"/>
      <c r="I44" s="146"/>
      <c r="J44" s="146"/>
      <c r="K44" s="146"/>
      <c r="L44" s="148"/>
      <c r="M44" s="148"/>
    </row>
    <row r="45" customFormat="false" ht="21" hidden="false" customHeight="true" outlineLevel="0" collapsed="false">
      <c r="A45" s="139" t="s">
        <v>1354</v>
      </c>
      <c r="B45" s="139" t="s">
        <v>1355</v>
      </c>
      <c r="C45" s="153" t="s">
        <v>1356</v>
      </c>
      <c r="D45" s="153" t="s">
        <v>1227</v>
      </c>
      <c r="E45" s="139" t="s">
        <v>1228</v>
      </c>
      <c r="F45" s="139" t="s">
        <v>1229</v>
      </c>
      <c r="G45" s="141"/>
      <c r="H45" s="141"/>
      <c r="I45" s="141"/>
      <c r="J45" s="141"/>
      <c r="K45" s="141"/>
      <c r="L45" s="143"/>
      <c r="M45" s="143"/>
    </row>
    <row r="46" customFormat="false" ht="21" hidden="false" customHeight="true" outlineLevel="0" collapsed="false">
      <c r="A46" s="144" t="s">
        <v>1357</v>
      </c>
      <c r="B46" s="144" t="s">
        <v>1358</v>
      </c>
      <c r="C46" s="162" t="s">
        <v>1356</v>
      </c>
      <c r="D46" s="162" t="s">
        <v>1227</v>
      </c>
      <c r="E46" s="144" t="s">
        <v>1228</v>
      </c>
      <c r="F46" s="144" t="s">
        <v>1229</v>
      </c>
      <c r="G46" s="146"/>
      <c r="H46" s="146"/>
      <c r="I46" s="146"/>
      <c r="J46" s="146"/>
      <c r="K46" s="146"/>
      <c r="L46" s="148"/>
      <c r="M46" s="148"/>
    </row>
    <row r="47" customFormat="false" ht="21" hidden="false" customHeight="true" outlineLevel="0" collapsed="false">
      <c r="A47" s="139" t="s">
        <v>1359</v>
      </c>
      <c r="B47" s="139" t="s">
        <v>1360</v>
      </c>
      <c r="C47" s="153" t="s">
        <v>1356</v>
      </c>
      <c r="D47" s="185" t="s">
        <v>1227</v>
      </c>
      <c r="E47" s="139" t="s">
        <v>1228</v>
      </c>
      <c r="F47" s="139" t="s">
        <v>1229</v>
      </c>
      <c r="G47" s="141"/>
      <c r="H47" s="141"/>
      <c r="I47" s="141"/>
      <c r="J47" s="141"/>
      <c r="K47" s="141"/>
      <c r="L47" s="143"/>
      <c r="M47" s="143"/>
    </row>
    <row r="48" customFormat="false" ht="21" hidden="false" customHeight="true" outlineLevel="0" collapsed="false">
      <c r="A48" s="144" t="s">
        <v>1361</v>
      </c>
      <c r="B48" s="144" t="s">
        <v>1362</v>
      </c>
      <c r="C48" s="162" t="s">
        <v>1363</v>
      </c>
      <c r="D48" s="184" t="s">
        <v>1364</v>
      </c>
      <c r="E48" s="144" t="s">
        <v>1228</v>
      </c>
      <c r="F48" s="144" t="s">
        <v>1229</v>
      </c>
      <c r="G48" s="146"/>
      <c r="H48" s="146"/>
      <c r="I48" s="146"/>
      <c r="J48" s="146"/>
      <c r="K48" s="146"/>
      <c r="L48" s="148"/>
      <c r="M48" s="148"/>
    </row>
    <row r="49" customFormat="false" ht="21" hidden="false" customHeight="true" outlineLevel="0" collapsed="false">
      <c r="A49" s="139" t="s">
        <v>1365</v>
      </c>
      <c r="B49" s="139" t="s">
        <v>1366</v>
      </c>
      <c r="C49" s="153" t="s">
        <v>1367</v>
      </c>
      <c r="D49" s="151" t="s">
        <v>1364</v>
      </c>
      <c r="E49" s="139" t="s">
        <v>1228</v>
      </c>
      <c r="F49" s="139" t="s">
        <v>1229</v>
      </c>
      <c r="G49" s="141"/>
      <c r="H49" s="141"/>
      <c r="I49" s="141"/>
      <c r="J49" s="141"/>
      <c r="K49" s="141"/>
      <c r="L49" s="143"/>
      <c r="M49" s="143"/>
    </row>
    <row r="50" customFormat="false" ht="21" hidden="false" customHeight="true" outlineLevel="0" collapsed="false">
      <c r="A50" s="144" t="s">
        <v>1368</v>
      </c>
      <c r="B50" s="144" t="s">
        <v>1369</v>
      </c>
      <c r="C50" s="144" t="s">
        <v>1370</v>
      </c>
      <c r="D50" s="146" t="s">
        <v>1371</v>
      </c>
      <c r="E50" s="144" t="s">
        <v>1228</v>
      </c>
      <c r="F50" s="144" t="s">
        <v>1229</v>
      </c>
      <c r="G50" s="146"/>
      <c r="H50" s="146"/>
      <c r="I50" s="146"/>
      <c r="J50" s="146"/>
      <c r="K50" s="146"/>
      <c r="L50" s="148"/>
      <c r="M50" s="148"/>
    </row>
    <row r="51" customFormat="false" ht="21" hidden="false" customHeight="true" outlineLevel="0" collapsed="false">
      <c r="A51" s="139" t="s">
        <v>1372</v>
      </c>
      <c r="B51" s="139" t="s">
        <v>1373</v>
      </c>
      <c r="C51" s="153" t="s">
        <v>1370</v>
      </c>
      <c r="D51" s="153" t="s">
        <v>1227</v>
      </c>
      <c r="E51" s="139" t="s">
        <v>1228</v>
      </c>
      <c r="F51" s="139" t="s">
        <v>1229</v>
      </c>
      <c r="G51" s="141"/>
      <c r="H51" s="141"/>
      <c r="I51" s="141"/>
      <c r="J51" s="141"/>
      <c r="K51" s="141"/>
      <c r="L51" s="143"/>
      <c r="M51" s="143"/>
    </row>
    <row r="52" customFormat="false" ht="21" hidden="false" customHeight="true" outlineLevel="0" collapsed="false">
      <c r="A52" s="183" t="s">
        <v>1374</v>
      </c>
      <c r="B52" s="183" t="s">
        <v>1375</v>
      </c>
      <c r="C52" s="183" t="s">
        <v>1376</v>
      </c>
      <c r="D52" s="184" t="s">
        <v>1336</v>
      </c>
      <c r="E52" s="144" t="s">
        <v>1228</v>
      </c>
      <c r="F52" s="144" t="s">
        <v>1229</v>
      </c>
      <c r="G52" s="146"/>
      <c r="H52" s="146"/>
      <c r="I52" s="146"/>
      <c r="J52" s="146"/>
      <c r="K52" s="146"/>
      <c r="L52" s="148"/>
      <c r="M52" s="148"/>
    </row>
    <row r="53" customFormat="false" ht="21" hidden="false" customHeight="true" outlineLevel="0" collapsed="false">
      <c r="A53" s="139" t="s">
        <v>1377</v>
      </c>
      <c r="B53" s="139" t="s">
        <v>1378</v>
      </c>
      <c r="C53" s="153" t="s">
        <v>1379</v>
      </c>
      <c r="D53" s="153" t="s">
        <v>1227</v>
      </c>
      <c r="E53" s="139" t="s">
        <v>1228</v>
      </c>
      <c r="F53" s="139" t="s">
        <v>1229</v>
      </c>
      <c r="G53" s="141"/>
      <c r="H53" s="141"/>
      <c r="I53" s="141"/>
      <c r="J53" s="141"/>
      <c r="K53" s="141"/>
      <c r="L53" s="143"/>
      <c r="M53" s="143"/>
    </row>
    <row r="54" customFormat="false" ht="21" hidden="false" customHeight="true" outlineLevel="0" collapsed="false">
      <c r="A54" s="183" t="s">
        <v>1380</v>
      </c>
      <c r="B54" s="183" t="s">
        <v>1381</v>
      </c>
      <c r="C54" s="183" t="s">
        <v>1382</v>
      </c>
      <c r="D54" s="183" t="s">
        <v>1383</v>
      </c>
      <c r="E54" s="144" t="s">
        <v>1228</v>
      </c>
      <c r="F54" s="144" t="s">
        <v>1229</v>
      </c>
      <c r="G54" s="146"/>
      <c r="H54" s="146"/>
      <c r="I54" s="146"/>
      <c r="J54" s="146"/>
      <c r="K54" s="146"/>
      <c r="L54" s="148"/>
      <c r="M54" s="148"/>
    </row>
    <row r="55" customFormat="false" ht="21" hidden="false" customHeight="true" outlineLevel="0" collapsed="false">
      <c r="A55" s="139" t="s">
        <v>1384</v>
      </c>
      <c r="B55" s="139" t="s">
        <v>1385</v>
      </c>
      <c r="C55" s="153" t="s">
        <v>1382</v>
      </c>
      <c r="D55" s="153" t="s">
        <v>1383</v>
      </c>
      <c r="E55" s="139" t="s">
        <v>1228</v>
      </c>
      <c r="F55" s="139" t="s">
        <v>1229</v>
      </c>
      <c r="G55" s="141"/>
      <c r="H55" s="141"/>
      <c r="I55" s="141"/>
      <c r="J55" s="141"/>
      <c r="K55" s="141"/>
      <c r="L55" s="143"/>
      <c r="M55" s="143"/>
    </row>
    <row r="56" customFormat="false" ht="21" hidden="false" customHeight="true" outlineLevel="0" collapsed="false">
      <c r="A56" s="183" t="s">
        <v>1386</v>
      </c>
      <c r="B56" s="144" t="s">
        <v>1387</v>
      </c>
      <c r="C56" s="183" t="s">
        <v>1388</v>
      </c>
      <c r="D56" s="144" t="s">
        <v>1227</v>
      </c>
      <c r="E56" s="144" t="s">
        <v>1228</v>
      </c>
      <c r="F56" s="144" t="s">
        <v>1229</v>
      </c>
      <c r="G56" s="146"/>
      <c r="H56" s="146"/>
      <c r="I56" s="146"/>
      <c r="J56" s="146"/>
      <c r="K56" s="146"/>
      <c r="L56" s="148"/>
      <c r="M56" s="148"/>
    </row>
    <row r="57" customFormat="false" ht="21" hidden="false" customHeight="true" outlineLevel="0" collapsed="false">
      <c r="A57" s="139" t="s">
        <v>1389</v>
      </c>
      <c r="B57" s="139" t="s">
        <v>1390</v>
      </c>
      <c r="C57" s="153" t="s">
        <v>1391</v>
      </c>
      <c r="D57" s="153" t="s">
        <v>1227</v>
      </c>
      <c r="E57" s="139" t="s">
        <v>1228</v>
      </c>
      <c r="F57" s="139" t="s">
        <v>1229</v>
      </c>
      <c r="G57" s="141"/>
      <c r="H57" s="141"/>
      <c r="I57" s="141"/>
      <c r="J57" s="141"/>
      <c r="K57" s="141"/>
      <c r="L57" s="143"/>
      <c r="M57" s="143"/>
    </row>
    <row r="58" customFormat="false" ht="21" hidden="false" customHeight="true" outlineLevel="0" collapsed="false">
      <c r="A58" s="144" t="s">
        <v>1392</v>
      </c>
      <c r="B58" s="144" t="s">
        <v>1393</v>
      </c>
      <c r="C58" s="183" t="s">
        <v>1394</v>
      </c>
      <c r="D58" s="144" t="s">
        <v>1227</v>
      </c>
      <c r="E58" s="144" t="s">
        <v>1228</v>
      </c>
      <c r="F58" s="144" t="s">
        <v>1229</v>
      </c>
      <c r="G58" s="146"/>
      <c r="H58" s="146"/>
      <c r="I58" s="146"/>
      <c r="J58" s="146"/>
      <c r="K58" s="146"/>
      <c r="L58" s="148"/>
      <c r="M58" s="148"/>
    </row>
    <row r="59" customFormat="false" ht="21" hidden="false" customHeight="true" outlineLevel="0" collapsed="false">
      <c r="A59" s="139" t="s">
        <v>1395</v>
      </c>
      <c r="B59" s="139" t="s">
        <v>1396</v>
      </c>
      <c r="C59" s="153" t="s">
        <v>1397</v>
      </c>
      <c r="D59" s="153" t="s">
        <v>1227</v>
      </c>
      <c r="E59" s="139" t="s">
        <v>1228</v>
      </c>
      <c r="F59" s="139" t="s">
        <v>1229</v>
      </c>
      <c r="G59" s="141"/>
      <c r="H59" s="141"/>
      <c r="I59" s="141"/>
      <c r="J59" s="141"/>
      <c r="K59" s="141"/>
      <c r="L59" s="143"/>
      <c r="M59" s="143"/>
    </row>
    <row r="60" customFormat="false" ht="21" hidden="false" customHeight="true" outlineLevel="0" collapsed="false">
      <c r="A60" s="183" t="s">
        <v>1398</v>
      </c>
      <c r="B60" s="183" t="s">
        <v>1399</v>
      </c>
      <c r="C60" s="183" t="s">
        <v>1400</v>
      </c>
      <c r="D60" s="183" t="s">
        <v>1227</v>
      </c>
      <c r="E60" s="144" t="s">
        <v>1228</v>
      </c>
      <c r="F60" s="144" t="s">
        <v>1229</v>
      </c>
      <c r="G60" s="146"/>
      <c r="H60" s="146"/>
      <c r="I60" s="146"/>
      <c r="J60" s="146"/>
      <c r="K60" s="146"/>
      <c r="L60" s="148"/>
      <c r="M60" s="148"/>
    </row>
    <row r="61" customFormat="false" ht="21" hidden="false" customHeight="true" outlineLevel="0" collapsed="false">
      <c r="A61" s="139" t="s">
        <v>1401</v>
      </c>
      <c r="B61" s="139" t="s">
        <v>1402</v>
      </c>
      <c r="C61" s="153" t="s">
        <v>1403</v>
      </c>
      <c r="D61" s="153" t="s">
        <v>1227</v>
      </c>
      <c r="E61" s="139" t="s">
        <v>1228</v>
      </c>
      <c r="F61" s="139" t="s">
        <v>1229</v>
      </c>
      <c r="G61" s="141"/>
      <c r="H61" s="141"/>
      <c r="I61" s="141"/>
      <c r="J61" s="141"/>
      <c r="K61" s="141"/>
      <c r="L61" s="143"/>
      <c r="M61" s="143"/>
    </row>
    <row r="62" customFormat="false" ht="21" hidden="false" customHeight="true" outlineLevel="0" collapsed="false">
      <c r="A62" s="144" t="s">
        <v>1404</v>
      </c>
      <c r="B62" s="144" t="s">
        <v>1405</v>
      </c>
      <c r="C62" s="183" t="s">
        <v>1406</v>
      </c>
      <c r="D62" s="183" t="s">
        <v>1227</v>
      </c>
      <c r="E62" s="144" t="s">
        <v>1228</v>
      </c>
      <c r="F62" s="144" t="s">
        <v>1229</v>
      </c>
      <c r="G62" s="146"/>
      <c r="H62" s="146"/>
      <c r="I62" s="146"/>
      <c r="J62" s="146"/>
      <c r="K62" s="146"/>
      <c r="L62" s="148"/>
      <c r="M62" s="148"/>
    </row>
    <row r="63" customFormat="false" ht="21" hidden="false" customHeight="true" outlineLevel="0" collapsed="false">
      <c r="A63" s="139" t="s">
        <v>1407</v>
      </c>
      <c r="B63" s="139" t="s">
        <v>1408</v>
      </c>
      <c r="C63" s="153" t="s">
        <v>1409</v>
      </c>
      <c r="D63" s="153" t="s">
        <v>1227</v>
      </c>
      <c r="E63" s="139" t="s">
        <v>1228</v>
      </c>
      <c r="F63" s="139" t="s">
        <v>1229</v>
      </c>
      <c r="G63" s="141"/>
      <c r="H63" s="141"/>
      <c r="I63" s="141"/>
      <c r="J63" s="141"/>
      <c r="K63" s="141"/>
      <c r="L63" s="143"/>
      <c r="M63" s="143"/>
    </row>
    <row r="64" customFormat="false" ht="21" hidden="false" customHeight="true" outlineLevel="0" collapsed="false">
      <c r="A64" s="183" t="s">
        <v>1410</v>
      </c>
      <c r="B64" s="144" t="s">
        <v>1411</v>
      </c>
      <c r="C64" s="183" t="s">
        <v>1412</v>
      </c>
      <c r="D64" s="183" t="s">
        <v>1266</v>
      </c>
      <c r="E64" s="144" t="s">
        <v>1228</v>
      </c>
      <c r="F64" s="144" t="s">
        <v>1229</v>
      </c>
      <c r="G64" s="146"/>
      <c r="H64" s="146"/>
      <c r="I64" s="146"/>
      <c r="J64" s="146"/>
      <c r="K64" s="146"/>
      <c r="L64" s="148"/>
      <c r="M64" s="148"/>
    </row>
    <row r="65" customFormat="false" ht="21" hidden="false" customHeight="true" outlineLevel="0" collapsed="false">
      <c r="A65" s="139" t="s">
        <v>1413</v>
      </c>
      <c r="B65" s="139" t="s">
        <v>1414</v>
      </c>
      <c r="C65" s="153" t="s">
        <v>1415</v>
      </c>
      <c r="D65" s="153" t="s">
        <v>1266</v>
      </c>
      <c r="E65" s="139" t="s">
        <v>1228</v>
      </c>
      <c r="F65" s="139" t="s">
        <v>1229</v>
      </c>
      <c r="G65" s="141"/>
      <c r="H65" s="141"/>
      <c r="I65" s="141"/>
      <c r="J65" s="141"/>
      <c r="K65" s="141"/>
      <c r="L65" s="143"/>
      <c r="M65" s="143"/>
    </row>
    <row r="66" customFormat="false" ht="21" hidden="false" customHeight="true" outlineLevel="0" collapsed="false">
      <c r="A66" s="183" t="s">
        <v>1416</v>
      </c>
      <c r="B66" s="144" t="s">
        <v>1417</v>
      </c>
      <c r="C66" s="144" t="s">
        <v>1418</v>
      </c>
      <c r="D66" s="183" t="s">
        <v>1266</v>
      </c>
      <c r="E66" s="144" t="s">
        <v>1228</v>
      </c>
      <c r="F66" s="144" t="s">
        <v>1229</v>
      </c>
      <c r="G66" s="146"/>
      <c r="H66" s="146"/>
      <c r="I66" s="146"/>
      <c r="J66" s="146"/>
      <c r="K66" s="146"/>
      <c r="L66" s="148"/>
      <c r="M66" s="148"/>
    </row>
    <row r="67" customFormat="false" ht="21" hidden="false" customHeight="true" outlineLevel="0" collapsed="false">
      <c r="A67" s="139" t="s">
        <v>1419</v>
      </c>
      <c r="B67" s="139" t="s">
        <v>1420</v>
      </c>
      <c r="C67" s="153" t="s">
        <v>1421</v>
      </c>
      <c r="D67" s="153" t="s">
        <v>1227</v>
      </c>
      <c r="E67" s="139" t="s">
        <v>1228</v>
      </c>
      <c r="F67" s="139" t="s">
        <v>1229</v>
      </c>
      <c r="G67" s="141"/>
      <c r="H67" s="141"/>
      <c r="I67" s="141"/>
      <c r="J67" s="141"/>
      <c r="K67" s="141"/>
      <c r="L67" s="143"/>
      <c r="M67" s="143"/>
    </row>
    <row r="68" customFormat="false" ht="21" hidden="false" customHeight="true" outlineLevel="0" collapsed="false">
      <c r="A68" s="183" t="s">
        <v>1422</v>
      </c>
      <c r="B68" s="144" t="s">
        <v>1423</v>
      </c>
      <c r="C68" s="144" t="s">
        <v>1424</v>
      </c>
      <c r="D68" s="183" t="s">
        <v>1425</v>
      </c>
      <c r="E68" s="144" t="s">
        <v>1228</v>
      </c>
      <c r="F68" s="144" t="s">
        <v>1229</v>
      </c>
      <c r="G68" s="146"/>
      <c r="H68" s="146"/>
      <c r="I68" s="146"/>
      <c r="J68" s="146"/>
      <c r="K68" s="146"/>
      <c r="L68" s="148"/>
      <c r="M68" s="148"/>
    </row>
    <row r="69" customFormat="false" ht="21" hidden="false" customHeight="true" outlineLevel="0" collapsed="false">
      <c r="A69" s="139" t="s">
        <v>1426</v>
      </c>
      <c r="B69" s="139" t="s">
        <v>1427</v>
      </c>
      <c r="C69" s="153" t="s">
        <v>1428</v>
      </c>
      <c r="D69" s="151" t="s">
        <v>1371</v>
      </c>
      <c r="E69" s="139" t="s">
        <v>1228</v>
      </c>
      <c r="F69" s="139" t="s">
        <v>1229</v>
      </c>
      <c r="G69" s="141"/>
      <c r="H69" s="141"/>
      <c r="I69" s="141"/>
      <c r="J69" s="141"/>
      <c r="K69" s="141"/>
      <c r="L69" s="143"/>
      <c r="M69" s="143"/>
    </row>
    <row r="70" customFormat="false" ht="21" hidden="false" customHeight="true" outlineLevel="0" collapsed="false">
      <c r="A70" s="183" t="s">
        <v>1429</v>
      </c>
      <c r="B70" s="144" t="s">
        <v>1430</v>
      </c>
      <c r="C70" s="147" t="n">
        <v>42501</v>
      </c>
      <c r="D70" s="183" t="s">
        <v>1227</v>
      </c>
      <c r="E70" s="144" t="s">
        <v>1228</v>
      </c>
      <c r="F70" s="144" t="s">
        <v>1229</v>
      </c>
      <c r="G70" s="146"/>
      <c r="H70" s="146"/>
      <c r="I70" s="146"/>
      <c r="J70" s="146"/>
      <c r="K70" s="146"/>
      <c r="L70" s="148"/>
      <c r="M70" s="148"/>
    </row>
    <row r="71" customFormat="false" ht="21" hidden="false" customHeight="true" outlineLevel="0" collapsed="false">
      <c r="A71" s="139" t="s">
        <v>1431</v>
      </c>
      <c r="B71" s="139" t="s">
        <v>1432</v>
      </c>
      <c r="C71" s="153" t="s">
        <v>1433</v>
      </c>
      <c r="D71" s="153" t="s">
        <v>1434</v>
      </c>
      <c r="E71" s="139" t="s">
        <v>1228</v>
      </c>
      <c r="F71" s="139" t="s">
        <v>1229</v>
      </c>
      <c r="G71" s="141"/>
      <c r="H71" s="141"/>
      <c r="I71" s="141"/>
      <c r="J71" s="141"/>
      <c r="K71" s="141"/>
      <c r="L71" s="143"/>
      <c r="M71" s="143"/>
    </row>
    <row r="72" customFormat="false" ht="21" hidden="false" customHeight="true" outlineLevel="0" collapsed="false">
      <c r="A72" s="183" t="s">
        <v>1435</v>
      </c>
      <c r="B72" s="144" t="s">
        <v>1436</v>
      </c>
      <c r="C72" s="144" t="s">
        <v>1433</v>
      </c>
      <c r="D72" s="183" t="s">
        <v>1434</v>
      </c>
      <c r="E72" s="144" t="s">
        <v>1228</v>
      </c>
      <c r="F72" s="144" t="s">
        <v>1229</v>
      </c>
      <c r="G72" s="146"/>
      <c r="H72" s="146"/>
      <c r="I72" s="146"/>
      <c r="J72" s="146"/>
      <c r="K72" s="146"/>
      <c r="L72" s="148"/>
      <c r="M72" s="148"/>
    </row>
    <row r="73" customFormat="false" ht="21" hidden="false" customHeight="true" outlineLevel="0" collapsed="false">
      <c r="A73" s="139" t="s">
        <v>1437</v>
      </c>
      <c r="B73" s="139" t="s">
        <v>1438</v>
      </c>
      <c r="C73" s="153" t="s">
        <v>1433</v>
      </c>
      <c r="D73" s="153" t="s">
        <v>1434</v>
      </c>
      <c r="E73" s="139" t="s">
        <v>1228</v>
      </c>
      <c r="F73" s="139" t="s">
        <v>1229</v>
      </c>
      <c r="G73" s="141"/>
      <c r="H73" s="141"/>
      <c r="I73" s="141"/>
      <c r="J73" s="141"/>
      <c r="K73" s="141"/>
      <c r="L73" s="143"/>
      <c r="M73" s="143"/>
    </row>
    <row r="74" customFormat="false" ht="21" hidden="false" customHeight="true" outlineLevel="0" collapsed="false">
      <c r="A74" s="183" t="s">
        <v>1439</v>
      </c>
      <c r="B74" s="144" t="s">
        <v>1440</v>
      </c>
      <c r="C74" s="144" t="s">
        <v>1441</v>
      </c>
      <c r="D74" s="184" t="s">
        <v>1442</v>
      </c>
      <c r="E74" s="144" t="s">
        <v>1228</v>
      </c>
      <c r="F74" s="144" t="s">
        <v>1229</v>
      </c>
      <c r="G74" s="146"/>
      <c r="H74" s="146"/>
      <c r="I74" s="146"/>
      <c r="J74" s="146"/>
      <c r="K74" s="146"/>
      <c r="L74" s="148"/>
      <c r="M74" s="148"/>
    </row>
    <row r="75" customFormat="false" ht="21" hidden="false" customHeight="true" outlineLevel="0" collapsed="false">
      <c r="A75" s="139" t="s">
        <v>1443</v>
      </c>
      <c r="B75" s="139" t="s">
        <v>1444</v>
      </c>
      <c r="C75" s="142" t="n">
        <v>43056</v>
      </c>
      <c r="D75" s="151" t="s">
        <v>1371</v>
      </c>
      <c r="E75" s="139" t="s">
        <v>1228</v>
      </c>
      <c r="F75" s="139" t="s">
        <v>1229</v>
      </c>
      <c r="G75" s="141"/>
      <c r="H75" s="141"/>
      <c r="I75" s="141"/>
      <c r="J75" s="141"/>
      <c r="K75" s="141"/>
      <c r="L75" s="143"/>
      <c r="M75" s="143"/>
    </row>
    <row r="76" customFormat="false" ht="21" hidden="false" customHeight="true" outlineLevel="0" collapsed="false">
      <c r="A76" s="183" t="s">
        <v>1445</v>
      </c>
      <c r="B76" s="144" t="s">
        <v>1446</v>
      </c>
      <c r="C76" s="147" t="n">
        <v>43057</v>
      </c>
      <c r="D76" s="183" t="s">
        <v>1447</v>
      </c>
      <c r="E76" s="144" t="s">
        <v>1228</v>
      </c>
      <c r="F76" s="144" t="s">
        <v>1229</v>
      </c>
      <c r="G76" s="146"/>
      <c r="H76" s="146"/>
      <c r="I76" s="146"/>
      <c r="J76" s="146"/>
      <c r="K76" s="146"/>
      <c r="L76" s="148"/>
      <c r="M76" s="148"/>
    </row>
    <row r="77" customFormat="false" ht="21" hidden="false" customHeight="true" outlineLevel="0" collapsed="false">
      <c r="A77" s="139" t="s">
        <v>1448</v>
      </c>
      <c r="B77" s="139" t="s">
        <v>1449</v>
      </c>
      <c r="C77" s="142" t="n">
        <v>43122</v>
      </c>
      <c r="D77" s="151" t="s">
        <v>1371</v>
      </c>
      <c r="E77" s="139" t="s">
        <v>1228</v>
      </c>
      <c r="F77" s="139" t="s">
        <v>1229</v>
      </c>
      <c r="G77" s="141"/>
      <c r="H77" s="141"/>
      <c r="I77" s="141"/>
      <c r="J77" s="141"/>
      <c r="K77" s="141"/>
      <c r="L77" s="143"/>
      <c r="M77" s="143"/>
    </row>
    <row r="78" customFormat="false" ht="21" hidden="false" customHeight="true" outlineLevel="0" collapsed="false">
      <c r="A78" s="183" t="s">
        <v>1450</v>
      </c>
      <c r="B78" s="144" t="s">
        <v>1451</v>
      </c>
      <c r="C78" s="147" t="n">
        <v>43091</v>
      </c>
      <c r="D78" s="183" t="s">
        <v>1452</v>
      </c>
      <c r="E78" s="144" t="s">
        <v>1228</v>
      </c>
      <c r="F78" s="144" t="s">
        <v>1229</v>
      </c>
      <c r="G78" s="146"/>
      <c r="H78" s="146"/>
      <c r="I78" s="146"/>
      <c r="J78" s="146"/>
      <c r="K78" s="146"/>
      <c r="L78" s="148"/>
      <c r="M78" s="148"/>
    </row>
    <row r="79" customFormat="false" ht="21" hidden="false" customHeight="true" outlineLevel="0" collapsed="false">
      <c r="A79" s="139" t="s">
        <v>1453</v>
      </c>
      <c r="B79" s="139" t="s">
        <v>1454</v>
      </c>
      <c r="C79" s="142" t="n">
        <v>43091</v>
      </c>
      <c r="D79" s="153" t="s">
        <v>1452</v>
      </c>
      <c r="E79" s="139" t="s">
        <v>1228</v>
      </c>
      <c r="F79" s="139" t="s">
        <v>1229</v>
      </c>
      <c r="G79" s="141"/>
      <c r="H79" s="141"/>
      <c r="I79" s="141"/>
      <c r="J79" s="141"/>
      <c r="K79" s="141"/>
      <c r="L79" s="143"/>
      <c r="M79" s="143"/>
    </row>
    <row r="80" customFormat="false" ht="21" hidden="false" customHeight="true" outlineLevel="0" collapsed="false">
      <c r="A80" s="183" t="s">
        <v>1455</v>
      </c>
      <c r="B80" s="144" t="s">
        <v>1456</v>
      </c>
      <c r="C80" s="147" t="n">
        <v>43125</v>
      </c>
      <c r="D80" s="183" t="s">
        <v>1266</v>
      </c>
      <c r="E80" s="144" t="s">
        <v>1228</v>
      </c>
      <c r="F80" s="144" t="s">
        <v>1229</v>
      </c>
      <c r="G80" s="146"/>
      <c r="H80" s="146"/>
      <c r="I80" s="146"/>
      <c r="J80" s="146"/>
      <c r="K80" s="146"/>
      <c r="L80" s="148"/>
      <c r="M80" s="148"/>
    </row>
    <row r="81" customFormat="false" ht="21" hidden="false" customHeight="true" outlineLevel="0" collapsed="false">
      <c r="A81" s="139" t="s">
        <v>1457</v>
      </c>
      <c r="B81" s="139" t="s">
        <v>1458</v>
      </c>
      <c r="C81" s="142" t="n">
        <v>43125</v>
      </c>
      <c r="D81" s="153" t="s">
        <v>1266</v>
      </c>
      <c r="E81" s="139" t="s">
        <v>1228</v>
      </c>
      <c r="F81" s="139" t="s">
        <v>1229</v>
      </c>
      <c r="G81" s="141"/>
      <c r="H81" s="141"/>
      <c r="I81" s="141"/>
      <c r="J81" s="141"/>
      <c r="K81" s="141"/>
      <c r="L81" s="143"/>
      <c r="M81" s="143"/>
    </row>
    <row r="82" customFormat="false" ht="21" hidden="false" customHeight="true" outlineLevel="0" collapsed="false">
      <c r="A82" s="183" t="s">
        <v>1459</v>
      </c>
      <c r="B82" s="144" t="s">
        <v>1460</v>
      </c>
      <c r="C82" s="147" t="n">
        <v>43328</v>
      </c>
      <c r="D82" s="184" t="s">
        <v>1461</v>
      </c>
      <c r="E82" s="144" t="s">
        <v>1228</v>
      </c>
      <c r="F82" s="144" t="s">
        <v>1229</v>
      </c>
      <c r="G82" s="146"/>
      <c r="H82" s="146"/>
      <c r="I82" s="146"/>
      <c r="J82" s="146"/>
      <c r="K82" s="146"/>
      <c r="L82" s="148"/>
      <c r="M82" s="148"/>
    </row>
    <row r="83" customFormat="false" ht="21" hidden="false" customHeight="true" outlineLevel="0" collapsed="false">
      <c r="A83" s="139" t="s">
        <v>1462</v>
      </c>
      <c r="B83" s="139" t="s">
        <v>1463</v>
      </c>
      <c r="C83" s="142" t="n">
        <v>43628</v>
      </c>
      <c r="D83" s="153" t="s">
        <v>1313</v>
      </c>
      <c r="E83" s="139" t="s">
        <v>1228</v>
      </c>
      <c r="F83" s="139" t="s">
        <v>1229</v>
      </c>
      <c r="G83" s="141"/>
      <c r="H83" s="141"/>
      <c r="I83" s="141"/>
      <c r="J83" s="141"/>
      <c r="K83" s="141"/>
      <c r="L83" s="143"/>
      <c r="M83" s="143"/>
    </row>
    <row r="84" customFormat="false" ht="21" hidden="false" customHeight="true" outlineLevel="0" collapsed="false">
      <c r="A84" s="183" t="s">
        <v>1464</v>
      </c>
      <c r="B84" s="144" t="s">
        <v>1465</v>
      </c>
      <c r="C84" s="147" t="n">
        <v>43717</v>
      </c>
      <c r="D84" s="184" t="s">
        <v>1371</v>
      </c>
      <c r="E84" s="144" t="s">
        <v>1228</v>
      </c>
      <c r="F84" s="144" t="s">
        <v>1229</v>
      </c>
      <c r="G84" s="146"/>
      <c r="H84" s="146"/>
      <c r="I84" s="146"/>
      <c r="J84" s="146"/>
      <c r="K84" s="146"/>
      <c r="L84" s="148"/>
      <c r="M84" s="148"/>
    </row>
    <row r="85" customFormat="false" ht="21" hidden="false" customHeight="true" outlineLevel="0" collapsed="false">
      <c r="A85" s="139" t="s">
        <v>1466</v>
      </c>
      <c r="B85" s="139" t="s">
        <v>1467</v>
      </c>
      <c r="C85" s="153" t="s">
        <v>1468</v>
      </c>
      <c r="D85" s="151" t="s">
        <v>1364</v>
      </c>
      <c r="E85" s="139" t="s">
        <v>1228</v>
      </c>
      <c r="F85" s="139" t="s">
        <v>1229</v>
      </c>
      <c r="G85" s="141"/>
      <c r="H85" s="141"/>
      <c r="I85" s="141"/>
      <c r="J85" s="141"/>
      <c r="K85" s="141"/>
      <c r="L85" s="143"/>
      <c r="M85" s="143"/>
    </row>
    <row r="86" customFormat="false" ht="21" hidden="true" customHeight="true" outlineLevel="0" collapsed="false">
      <c r="A86" s="183" t="s">
        <v>1469</v>
      </c>
      <c r="B86" s="144" t="s">
        <v>1470</v>
      </c>
      <c r="C86" s="147" t="n">
        <v>43684</v>
      </c>
      <c r="D86" s="184"/>
      <c r="E86" s="144" t="s">
        <v>1228</v>
      </c>
      <c r="F86" s="144" t="s">
        <v>1229</v>
      </c>
      <c r="G86" s="144" t="s">
        <v>1471</v>
      </c>
      <c r="H86" s="146"/>
      <c r="I86" s="146"/>
      <c r="J86" s="146"/>
      <c r="K86" s="146"/>
      <c r="L86" s="148"/>
      <c r="M86" s="148"/>
    </row>
    <row r="87" customFormat="false" ht="21" hidden="false" customHeight="true" outlineLevel="0" collapsed="false">
      <c r="A87" s="139" t="s">
        <v>1472</v>
      </c>
      <c r="B87" s="139" t="s">
        <v>1473</v>
      </c>
      <c r="C87" s="142" t="n">
        <v>43676</v>
      </c>
      <c r="D87" s="151"/>
      <c r="E87" s="139" t="s">
        <v>1228</v>
      </c>
      <c r="F87" s="139" t="s">
        <v>1229</v>
      </c>
      <c r="G87" s="141"/>
      <c r="H87" s="141"/>
      <c r="I87" s="141"/>
      <c r="J87" s="141"/>
      <c r="K87" s="141"/>
      <c r="L87" s="143"/>
      <c r="M87" s="143"/>
    </row>
    <row r="88" customFormat="false" ht="21" hidden="false" customHeight="true" outlineLevel="0" collapsed="false">
      <c r="A88" s="144" t="s">
        <v>1474</v>
      </c>
      <c r="B88" s="144" t="s">
        <v>1475</v>
      </c>
      <c r="C88" s="147" t="n">
        <v>43900</v>
      </c>
      <c r="D88" s="184"/>
      <c r="E88" s="144" t="s">
        <v>1228</v>
      </c>
      <c r="F88" s="144" t="s">
        <v>1229</v>
      </c>
      <c r="G88" s="146"/>
      <c r="H88" s="146"/>
      <c r="I88" s="146"/>
      <c r="J88" s="146"/>
      <c r="K88" s="146"/>
      <c r="L88" s="148"/>
      <c r="M88" s="148"/>
    </row>
    <row r="89" customFormat="false" ht="21" hidden="false" customHeight="true" outlineLevel="0" collapsed="false">
      <c r="A89" s="139" t="s">
        <v>1476</v>
      </c>
      <c r="B89" s="139" t="s">
        <v>1477</v>
      </c>
      <c r="C89" s="142" t="n">
        <v>44137</v>
      </c>
      <c r="D89" s="151" t="s">
        <v>36</v>
      </c>
      <c r="E89" s="139" t="s">
        <v>1228</v>
      </c>
      <c r="F89" s="139" t="s">
        <v>1229</v>
      </c>
      <c r="G89" s="141"/>
      <c r="H89" s="141"/>
      <c r="I89" s="141"/>
      <c r="J89" s="141"/>
      <c r="K89" s="141"/>
      <c r="L89" s="143"/>
      <c r="M89" s="143"/>
    </row>
    <row r="90" customFormat="false" ht="21" hidden="false" customHeight="true" outlineLevel="0" collapsed="false">
      <c r="A90" s="183" t="s">
        <v>1478</v>
      </c>
      <c r="B90" s="144" t="s">
        <v>1479</v>
      </c>
      <c r="C90" s="147" t="n">
        <v>44182</v>
      </c>
      <c r="D90" s="184" t="s">
        <v>36</v>
      </c>
      <c r="E90" s="144" t="s">
        <v>1228</v>
      </c>
      <c r="F90" s="144" t="s">
        <v>1229</v>
      </c>
      <c r="G90" s="146"/>
      <c r="H90" s="146"/>
      <c r="I90" s="146"/>
      <c r="J90" s="146"/>
      <c r="K90" s="146"/>
      <c r="L90" s="148"/>
      <c r="M90" s="148"/>
    </row>
    <row r="91" customFormat="false" ht="21" hidden="false" customHeight="true" outlineLevel="0" collapsed="false">
      <c r="A91" s="139" t="s">
        <v>1480</v>
      </c>
      <c r="B91" s="139" t="s">
        <v>1481</v>
      </c>
      <c r="C91" s="142" t="n">
        <v>44169</v>
      </c>
      <c r="D91" s="153" t="s">
        <v>1313</v>
      </c>
      <c r="E91" s="139" t="s">
        <v>1228</v>
      </c>
      <c r="F91" s="139" t="s">
        <v>1229</v>
      </c>
      <c r="G91" s="141"/>
      <c r="H91" s="141"/>
      <c r="I91" s="141"/>
      <c r="J91" s="141"/>
      <c r="K91" s="141"/>
      <c r="L91" s="143"/>
      <c r="M91" s="143"/>
    </row>
    <row r="92" customFormat="false" ht="21" hidden="false" customHeight="true" outlineLevel="0" collapsed="false">
      <c r="A92" s="183" t="s">
        <v>1482</v>
      </c>
      <c r="B92" s="144" t="s">
        <v>1483</v>
      </c>
      <c r="C92" s="147" t="n">
        <v>44221</v>
      </c>
      <c r="D92" s="184" t="s">
        <v>36</v>
      </c>
      <c r="E92" s="144" t="s">
        <v>1228</v>
      </c>
      <c r="F92" s="144" t="s">
        <v>1229</v>
      </c>
      <c r="G92" s="146"/>
      <c r="H92" s="146"/>
      <c r="I92" s="146"/>
      <c r="J92" s="146"/>
      <c r="K92" s="146"/>
      <c r="L92" s="148"/>
      <c r="M92" s="148"/>
    </row>
    <row r="93" customFormat="false" ht="21" hidden="false" customHeight="true" outlineLevel="0" collapsed="false">
      <c r="A93" s="139" t="s">
        <v>1484</v>
      </c>
      <c r="B93" s="139" t="s">
        <v>1485</v>
      </c>
      <c r="C93" s="142" t="n">
        <v>44333</v>
      </c>
      <c r="D93" s="153" t="s">
        <v>1486</v>
      </c>
      <c r="E93" s="139" t="s">
        <v>1228</v>
      </c>
      <c r="F93" s="139" t="s">
        <v>1229</v>
      </c>
      <c r="G93" s="141"/>
      <c r="H93" s="141"/>
      <c r="I93" s="141"/>
      <c r="J93" s="141"/>
      <c r="K93" s="141"/>
      <c r="L93" s="143"/>
      <c r="M93" s="143"/>
    </row>
    <row r="94" customFormat="false" ht="21" hidden="false" customHeight="true" outlineLevel="0" collapsed="false">
      <c r="A94" s="183" t="s">
        <v>1487</v>
      </c>
      <c r="B94" s="144" t="s">
        <v>1488</v>
      </c>
      <c r="C94" s="147" t="n">
        <v>44393</v>
      </c>
      <c r="D94" s="184"/>
      <c r="E94" s="144" t="s">
        <v>1228</v>
      </c>
      <c r="F94" s="144" t="s">
        <v>1229</v>
      </c>
      <c r="G94" s="146"/>
      <c r="H94" s="146"/>
      <c r="I94" s="146"/>
      <c r="J94" s="146"/>
      <c r="K94" s="146"/>
      <c r="L94" s="148"/>
      <c r="M94" s="148"/>
    </row>
    <row r="95" customFormat="false" ht="21" hidden="false" customHeight="true" outlineLevel="0" collapsed="false">
      <c r="A95" s="139" t="s">
        <v>1489</v>
      </c>
      <c r="B95" s="139" t="s">
        <v>1490</v>
      </c>
      <c r="C95" s="142" t="n">
        <v>44681</v>
      </c>
      <c r="D95" s="153" t="s">
        <v>1491</v>
      </c>
      <c r="E95" s="139" t="s">
        <v>1228</v>
      </c>
      <c r="F95" s="139" t="s">
        <v>1229</v>
      </c>
      <c r="G95" s="141"/>
      <c r="H95" s="141"/>
      <c r="I95" s="141"/>
      <c r="J95" s="141"/>
      <c r="K95" s="141"/>
      <c r="L95" s="143"/>
      <c r="M95" s="143"/>
    </row>
    <row r="96" customFormat="false" ht="21" hidden="false" customHeight="true" outlineLevel="0" collapsed="false">
      <c r="A96" s="144" t="s">
        <v>1492</v>
      </c>
      <c r="B96" s="162" t="s">
        <v>1493</v>
      </c>
      <c r="C96" s="147" t="n">
        <v>44558</v>
      </c>
      <c r="D96" s="184" t="s">
        <v>36</v>
      </c>
      <c r="E96" s="144" t="s">
        <v>1228</v>
      </c>
      <c r="F96" s="144" t="s">
        <v>1229</v>
      </c>
      <c r="G96" s="146"/>
      <c r="H96" s="146"/>
      <c r="I96" s="146"/>
      <c r="J96" s="146"/>
      <c r="K96" s="146"/>
      <c r="L96" s="148"/>
      <c r="M96" s="148"/>
    </row>
    <row r="97" customFormat="false" ht="21" hidden="false" customHeight="true" outlineLevel="0" collapsed="false">
      <c r="A97" s="139" t="s">
        <v>1494</v>
      </c>
      <c r="B97" s="153" t="s">
        <v>1495</v>
      </c>
      <c r="C97" s="142" t="n">
        <v>44749</v>
      </c>
      <c r="D97" s="153" t="s">
        <v>1313</v>
      </c>
      <c r="E97" s="139" t="s">
        <v>1228</v>
      </c>
      <c r="F97" s="139" t="s">
        <v>1496</v>
      </c>
      <c r="G97" s="141"/>
      <c r="H97" s="141"/>
      <c r="I97" s="141"/>
      <c r="J97" s="141"/>
      <c r="K97" s="141"/>
      <c r="L97" s="143"/>
      <c r="M97" s="143"/>
    </row>
    <row r="98" customFormat="false" ht="21" hidden="false" customHeight="true" outlineLevel="0" collapsed="false">
      <c r="A98" s="144" t="s">
        <v>1497</v>
      </c>
      <c r="B98" s="162" t="s">
        <v>1498</v>
      </c>
      <c r="C98" s="147" t="n">
        <v>44795</v>
      </c>
      <c r="D98" s="184" t="s">
        <v>1364</v>
      </c>
      <c r="E98" s="144" t="s">
        <v>1499</v>
      </c>
      <c r="F98" s="144" t="s">
        <v>1496</v>
      </c>
      <c r="G98" s="144" t="s">
        <v>1500</v>
      </c>
      <c r="H98" s="146"/>
      <c r="I98" s="146"/>
      <c r="J98" s="146"/>
      <c r="K98" s="146"/>
      <c r="L98" s="148"/>
      <c r="M98" s="148"/>
    </row>
    <row r="99" customFormat="false" ht="21" hidden="false" customHeight="true" outlineLevel="0" collapsed="false">
      <c r="A99" s="139" t="s">
        <v>1501</v>
      </c>
      <c r="B99" s="139" t="s">
        <v>1502</v>
      </c>
      <c r="C99" s="142" t="n">
        <v>44915</v>
      </c>
      <c r="D99" s="151" t="s">
        <v>36</v>
      </c>
      <c r="E99" s="139" t="s">
        <v>1503</v>
      </c>
      <c r="F99" s="139" t="s">
        <v>1496</v>
      </c>
      <c r="G99" s="141"/>
      <c r="H99" s="141"/>
      <c r="I99" s="141"/>
      <c r="J99" s="141"/>
      <c r="K99" s="141"/>
      <c r="L99" s="143"/>
      <c r="M99" s="143"/>
    </row>
    <row r="100" customFormat="false" ht="21" hidden="false" customHeight="true" outlineLevel="0" collapsed="false">
      <c r="A100" s="144" t="s">
        <v>1504</v>
      </c>
      <c r="B100" s="144" t="s">
        <v>1485</v>
      </c>
      <c r="C100" s="147" t="n">
        <v>44347.5361111111</v>
      </c>
      <c r="D100" s="184" t="s">
        <v>36</v>
      </c>
      <c r="E100" s="144" t="s">
        <v>1228</v>
      </c>
      <c r="F100" s="186" t="e">
        <f aca="false">UPPER(#REF!)</f>
        <v>#REF!</v>
      </c>
      <c r="G100" s="146"/>
      <c r="H100" s="146"/>
      <c r="I100" s="146"/>
      <c r="J100" s="146"/>
      <c r="K100" s="146"/>
      <c r="L100" s="148"/>
      <c r="M100" s="148"/>
    </row>
    <row r="101" customFormat="false" ht="21" hidden="false" customHeight="true" outlineLevel="0" collapsed="false">
      <c r="A101" s="139" t="s">
        <v>1505</v>
      </c>
      <c r="B101" s="139" t="s">
        <v>1488</v>
      </c>
      <c r="C101" s="153" t="s">
        <v>1506</v>
      </c>
      <c r="D101" s="153" t="s">
        <v>1507</v>
      </c>
      <c r="E101" s="139" t="s">
        <v>1228</v>
      </c>
      <c r="F101" s="186" t="e">
        <f aca="false">UPPER(#REF!)</f>
        <v>#REF!</v>
      </c>
      <c r="G101" s="141"/>
      <c r="H101" s="141"/>
      <c r="I101" s="141"/>
      <c r="J101" s="141"/>
      <c r="K101" s="141"/>
      <c r="L101" s="143"/>
      <c r="M101" s="143"/>
    </row>
    <row r="102" customFormat="false" ht="21" hidden="false" customHeight="true" outlineLevel="0" collapsed="false">
      <c r="A102" s="144" t="s">
        <v>1508</v>
      </c>
      <c r="B102" s="144" t="s">
        <v>1509</v>
      </c>
      <c r="C102" s="147" t="n">
        <v>44564.275</v>
      </c>
      <c r="D102" s="183" t="s">
        <v>1510</v>
      </c>
      <c r="E102" s="144" t="s">
        <v>1228</v>
      </c>
      <c r="F102" s="186" t="e">
        <f aca="false">UPPER(#REF!)</f>
        <v>#REF!</v>
      </c>
      <c r="G102" s="146"/>
      <c r="H102" s="146"/>
      <c r="I102" s="146"/>
      <c r="J102" s="146"/>
      <c r="K102" s="146"/>
      <c r="L102" s="148"/>
      <c r="M102" s="148"/>
    </row>
    <row r="103" customFormat="false" ht="21" hidden="false" customHeight="true" outlineLevel="0" collapsed="false">
      <c r="A103" s="139" t="s">
        <v>1511</v>
      </c>
      <c r="B103" s="139" t="s">
        <v>1512</v>
      </c>
      <c r="C103" s="142" t="n">
        <v>44564.2965277778</v>
      </c>
      <c r="D103" s="153" t="s">
        <v>1510</v>
      </c>
      <c r="E103" s="139" t="s">
        <v>1228</v>
      </c>
      <c r="F103" s="186" t="e">
        <f aca="false">UPPER(#REF!)</f>
        <v>#REF!</v>
      </c>
      <c r="G103" s="141"/>
      <c r="H103" s="141"/>
      <c r="I103" s="141"/>
      <c r="J103" s="141"/>
      <c r="K103" s="141"/>
      <c r="L103" s="143"/>
      <c r="M103" s="143"/>
    </row>
    <row r="104" customFormat="false" ht="21" hidden="false" customHeight="true" outlineLevel="0" collapsed="false">
      <c r="A104" s="144" t="s">
        <v>1513</v>
      </c>
      <c r="B104" s="144" t="s">
        <v>1514</v>
      </c>
      <c r="C104" s="162" t="s">
        <v>1515</v>
      </c>
      <c r="D104" s="183" t="s">
        <v>1507</v>
      </c>
      <c r="E104" s="144" t="s">
        <v>1228</v>
      </c>
      <c r="F104" s="186" t="e">
        <f aca="false">UPPER(#REF!)</f>
        <v>#REF!</v>
      </c>
      <c r="G104" s="146"/>
      <c r="H104" s="146"/>
      <c r="I104" s="146"/>
      <c r="J104" s="146"/>
      <c r="K104" s="146"/>
      <c r="L104" s="148"/>
      <c r="M104" s="148"/>
    </row>
    <row r="105" customFormat="false" ht="21" hidden="false" customHeight="true" outlineLevel="0" collapsed="false">
      <c r="A105" s="139" t="s">
        <v>1516</v>
      </c>
      <c r="B105" s="139" t="s">
        <v>1517</v>
      </c>
      <c r="C105" s="142" t="n">
        <v>44775</v>
      </c>
      <c r="D105" s="151" t="s">
        <v>38</v>
      </c>
      <c r="E105" s="139" t="s">
        <v>1228</v>
      </c>
      <c r="F105" s="186" t="e">
        <f aca="false">UPPER(#REF!)</f>
        <v>#REF!</v>
      </c>
      <c r="G105" s="141"/>
      <c r="H105" s="141"/>
      <c r="I105" s="141"/>
      <c r="J105" s="141"/>
      <c r="K105" s="141"/>
      <c r="L105" s="143"/>
      <c r="M105" s="143"/>
    </row>
    <row r="106" customFormat="false" ht="21" hidden="false" customHeight="true" outlineLevel="0" collapsed="false">
      <c r="A106" s="144" t="s">
        <v>1518</v>
      </c>
      <c r="B106" s="144" t="s">
        <v>1519</v>
      </c>
      <c r="C106" s="147" t="n">
        <v>44775</v>
      </c>
      <c r="D106" s="184" t="s">
        <v>38</v>
      </c>
      <c r="E106" s="144" t="s">
        <v>1228</v>
      </c>
      <c r="F106" s="186" t="e">
        <f aca="false">UPPER(#REF!)</f>
        <v>#REF!</v>
      </c>
      <c r="G106" s="146"/>
      <c r="H106" s="146"/>
      <c r="I106" s="146"/>
      <c r="J106" s="146"/>
      <c r="K106" s="146"/>
      <c r="L106" s="148"/>
      <c r="M106" s="148"/>
    </row>
    <row r="107" customFormat="false" ht="21" hidden="false" customHeight="true" outlineLevel="0" collapsed="false">
      <c r="A107" s="139" t="s">
        <v>1520</v>
      </c>
      <c r="B107" s="139" t="s">
        <v>1521</v>
      </c>
      <c r="C107" s="142" t="n">
        <v>44775</v>
      </c>
      <c r="D107" s="153" t="s">
        <v>1510</v>
      </c>
      <c r="E107" s="139" t="s">
        <v>1228</v>
      </c>
      <c r="F107" s="186" t="e">
        <f aca="false">UPPER(#REF!)</f>
        <v>#REF!</v>
      </c>
      <c r="G107" s="141"/>
      <c r="H107" s="141"/>
      <c r="I107" s="141"/>
      <c r="J107" s="141"/>
      <c r="K107" s="141"/>
      <c r="L107" s="143"/>
      <c r="M107" s="143"/>
    </row>
    <row r="108" customFormat="false" ht="21" hidden="false" customHeight="true" outlineLevel="0" collapsed="false">
      <c r="A108" s="144" t="s">
        <v>1522</v>
      </c>
      <c r="B108" s="144" t="s">
        <v>1490</v>
      </c>
      <c r="C108" s="147" t="n">
        <v>44717</v>
      </c>
      <c r="D108" s="183" t="s">
        <v>1510</v>
      </c>
      <c r="E108" s="144" t="s">
        <v>1228</v>
      </c>
      <c r="F108" s="186" t="e">
        <f aca="false">UPPER(#REF!)</f>
        <v>#REF!</v>
      </c>
      <c r="G108" s="146"/>
      <c r="H108" s="146"/>
      <c r="I108" s="146"/>
      <c r="J108" s="146"/>
      <c r="K108" s="146"/>
      <c r="L108" s="148"/>
      <c r="M108" s="148"/>
    </row>
    <row r="109" customFormat="false" ht="21" hidden="false" customHeight="true" outlineLevel="0" collapsed="false">
      <c r="A109" s="139" t="s">
        <v>1523</v>
      </c>
      <c r="B109" s="139" t="s">
        <v>1524</v>
      </c>
      <c r="C109" s="153" t="s">
        <v>1525</v>
      </c>
      <c r="D109" s="153" t="s">
        <v>1510</v>
      </c>
      <c r="E109" s="139" t="s">
        <v>1228</v>
      </c>
      <c r="F109" s="186" t="e">
        <f aca="false">UPPER(#REF!)</f>
        <v>#REF!</v>
      </c>
      <c r="G109" s="141"/>
      <c r="H109" s="141"/>
      <c r="I109" s="141"/>
      <c r="J109" s="141"/>
      <c r="K109" s="141"/>
      <c r="L109" s="143"/>
      <c r="M109" s="143"/>
    </row>
    <row r="110" customFormat="false" ht="21" hidden="false" customHeight="true" outlineLevel="0" collapsed="false">
      <c r="A110" s="144" t="s">
        <v>1526</v>
      </c>
      <c r="B110" s="144" t="s">
        <v>1495</v>
      </c>
      <c r="C110" s="147" t="n">
        <v>44749</v>
      </c>
      <c r="D110" s="184" t="s">
        <v>38</v>
      </c>
      <c r="E110" s="144" t="s">
        <v>1228</v>
      </c>
      <c r="F110" s="186" t="e">
        <f aca="false">UPPER(#REF!)</f>
        <v>#REF!</v>
      </c>
      <c r="G110" s="146"/>
      <c r="H110" s="146"/>
      <c r="I110" s="146"/>
      <c r="J110" s="146"/>
      <c r="K110" s="146"/>
      <c r="L110" s="148"/>
      <c r="M110" s="148"/>
    </row>
    <row r="111" customFormat="false" ht="21" hidden="false" customHeight="true" outlineLevel="0" collapsed="false">
      <c r="A111" s="139" t="s">
        <v>1513</v>
      </c>
      <c r="B111" s="139" t="s">
        <v>1514</v>
      </c>
      <c r="C111" s="153" t="s">
        <v>1515</v>
      </c>
      <c r="D111" s="153" t="s">
        <v>1507</v>
      </c>
      <c r="E111" s="139" t="s">
        <v>1228</v>
      </c>
      <c r="F111" s="186" t="e">
        <f aca="false">UPPER(#REF!)</f>
        <v>#REF!</v>
      </c>
      <c r="G111" s="141"/>
      <c r="H111" s="141"/>
      <c r="I111" s="141"/>
      <c r="J111" s="141"/>
      <c r="K111" s="141"/>
      <c r="L111" s="143"/>
      <c r="M111" s="143"/>
    </row>
    <row r="112" customFormat="false" ht="21" hidden="false" customHeight="true" outlineLevel="0" collapsed="false">
      <c r="A112" s="144" t="s">
        <v>1527</v>
      </c>
      <c r="B112" s="144" t="s">
        <v>1528</v>
      </c>
      <c r="C112" s="147" t="n">
        <v>44722</v>
      </c>
      <c r="D112" s="183" t="s">
        <v>1510</v>
      </c>
      <c r="E112" s="144" t="s">
        <v>1228</v>
      </c>
      <c r="F112" s="186" t="e">
        <f aca="false">UPPER(#REF!)</f>
        <v>#REF!</v>
      </c>
      <c r="G112" s="146"/>
      <c r="H112" s="146"/>
      <c r="I112" s="146"/>
      <c r="J112" s="146"/>
      <c r="K112" s="146"/>
      <c r="L112" s="148"/>
      <c r="M112" s="148"/>
    </row>
    <row r="113" customFormat="false" ht="21" hidden="false" customHeight="true" outlineLevel="0" collapsed="false">
      <c r="A113" s="139" t="s">
        <v>1529</v>
      </c>
      <c r="B113" s="139" t="s">
        <v>1530</v>
      </c>
      <c r="C113" s="142" t="n">
        <v>45017</v>
      </c>
      <c r="D113" s="153" t="s">
        <v>1510</v>
      </c>
      <c r="E113" s="139" t="s">
        <v>1228</v>
      </c>
      <c r="F113" s="186" t="e">
        <f aca="false">UPPER(#REF!)</f>
        <v>#REF!</v>
      </c>
      <c r="G113" s="141"/>
      <c r="H113" s="141"/>
      <c r="I113" s="141"/>
      <c r="J113" s="141"/>
      <c r="K113" s="141"/>
      <c r="L113" s="143"/>
      <c r="M113" s="143"/>
    </row>
    <row r="114" customFormat="false" ht="21" hidden="false" customHeight="true" outlineLevel="0" collapsed="false">
      <c r="A114" s="144" t="s">
        <v>1531</v>
      </c>
      <c r="B114" s="144" t="s">
        <v>1532</v>
      </c>
      <c r="C114" s="162" t="s">
        <v>1533</v>
      </c>
      <c r="D114" s="183" t="s">
        <v>1510</v>
      </c>
      <c r="E114" s="144" t="s">
        <v>1228</v>
      </c>
      <c r="F114" s="186" t="e">
        <f aca="false">UPPER(#REF!)</f>
        <v>#REF!</v>
      </c>
      <c r="G114" s="146"/>
      <c r="H114" s="146"/>
      <c r="I114" s="146"/>
      <c r="J114" s="146"/>
      <c r="K114" s="146"/>
      <c r="L114" s="148"/>
      <c r="M114" s="148"/>
    </row>
    <row r="115" customFormat="false" ht="21" hidden="false" customHeight="true" outlineLevel="0" collapsed="false">
      <c r="A115" s="139" t="s">
        <v>1511</v>
      </c>
      <c r="B115" s="139" t="s">
        <v>1512</v>
      </c>
      <c r="C115" s="142" t="n">
        <v>44621</v>
      </c>
      <c r="D115" s="153" t="s">
        <v>1534</v>
      </c>
      <c r="E115" s="139" t="s">
        <v>1228</v>
      </c>
      <c r="F115" s="186" t="e">
        <f aca="false">UPPER(#REF!)</f>
        <v>#REF!</v>
      </c>
      <c r="G115" s="141"/>
      <c r="H115" s="141"/>
      <c r="I115" s="141"/>
      <c r="J115" s="141"/>
      <c r="K115" s="141"/>
      <c r="L115" s="143"/>
      <c r="M115" s="143"/>
    </row>
    <row r="116" customFormat="false" ht="21" hidden="false" customHeight="true" outlineLevel="0" collapsed="false">
      <c r="A116" s="144" t="s">
        <v>1535</v>
      </c>
      <c r="B116" s="144" t="s">
        <v>1536</v>
      </c>
      <c r="C116" s="162" t="s">
        <v>1537</v>
      </c>
      <c r="D116" s="184" t="s">
        <v>36</v>
      </c>
      <c r="E116" s="144" t="s">
        <v>1228</v>
      </c>
      <c r="F116" s="186" t="e">
        <f aca="false">UPPER(#REF!)</f>
        <v>#REF!</v>
      </c>
      <c r="G116" s="146"/>
      <c r="H116" s="146"/>
      <c r="I116" s="146"/>
      <c r="J116" s="146"/>
      <c r="K116" s="146"/>
      <c r="L116" s="148"/>
      <c r="M116" s="148"/>
    </row>
    <row r="117" customFormat="false" ht="21" hidden="false" customHeight="true" outlineLevel="0" collapsed="false">
      <c r="A117" s="139" t="s">
        <v>1538</v>
      </c>
      <c r="B117" s="139" t="s">
        <v>1539</v>
      </c>
      <c r="C117" s="153" t="s">
        <v>1540</v>
      </c>
      <c r="D117" s="153" t="s">
        <v>1510</v>
      </c>
      <c r="E117" s="139" t="s">
        <v>1228</v>
      </c>
      <c r="F117" s="186" t="e">
        <f aca="false">UPPER(#REF!)</f>
        <v>#REF!</v>
      </c>
      <c r="G117" s="141"/>
      <c r="H117" s="141"/>
      <c r="I117" s="141"/>
      <c r="J117" s="141"/>
      <c r="K117" s="141"/>
      <c r="L117" s="143"/>
      <c r="M117" s="143"/>
    </row>
    <row r="118" customFormat="false" ht="21" hidden="false" customHeight="true" outlineLevel="0" collapsed="false">
      <c r="A118" s="144" t="s">
        <v>1541</v>
      </c>
      <c r="B118" s="144" t="s">
        <v>1542</v>
      </c>
      <c r="C118" s="147" t="n">
        <v>44989</v>
      </c>
      <c r="D118" s="183" t="s">
        <v>1534</v>
      </c>
      <c r="E118" s="144" t="s">
        <v>1228</v>
      </c>
      <c r="F118" s="186" t="e">
        <f aca="false">UPPER(#REF!)</f>
        <v>#REF!</v>
      </c>
      <c r="G118" s="146"/>
      <c r="H118" s="146"/>
      <c r="I118" s="146"/>
      <c r="J118" s="146"/>
      <c r="K118" s="146"/>
      <c r="L118" s="148"/>
      <c r="M118" s="148"/>
    </row>
    <row r="119" customFormat="false" ht="21" hidden="false" customHeight="true" outlineLevel="0" collapsed="false">
      <c r="A119" s="139" t="s">
        <v>1543</v>
      </c>
      <c r="B119" s="139" t="s">
        <v>1544</v>
      </c>
      <c r="C119" s="142" t="n">
        <v>45110</v>
      </c>
      <c r="D119" s="153" t="s">
        <v>1534</v>
      </c>
      <c r="E119" s="139" t="s">
        <v>1228</v>
      </c>
      <c r="F119" s="186" t="e">
        <f aca="false">UPPER(#REF!)</f>
        <v>#REF!</v>
      </c>
      <c r="G119" s="141"/>
      <c r="H119" s="141"/>
      <c r="I119" s="141"/>
      <c r="J119" s="141"/>
      <c r="K119" s="141"/>
      <c r="L119" s="143"/>
      <c r="M119" s="143"/>
    </row>
    <row r="120" customFormat="false" ht="21" hidden="false" customHeight="true" outlineLevel="0" collapsed="false">
      <c r="A120" s="144" t="s">
        <v>1545</v>
      </c>
      <c r="B120" s="144" t="s">
        <v>1546</v>
      </c>
      <c r="C120" s="147" t="n">
        <v>45180</v>
      </c>
      <c r="D120" s="183" t="s">
        <v>1507</v>
      </c>
      <c r="E120" s="144" t="s">
        <v>1228</v>
      </c>
      <c r="F120" s="186" t="e">
        <f aca="false">UPPER(#REF!)</f>
        <v>#REF!</v>
      </c>
      <c r="G120" s="146"/>
      <c r="H120" s="146"/>
      <c r="I120" s="146"/>
      <c r="J120" s="146"/>
      <c r="K120" s="146"/>
      <c r="L120" s="148"/>
      <c r="M120" s="148"/>
    </row>
    <row r="121" customFormat="false" ht="21" hidden="false" customHeight="true" outlineLevel="0" collapsed="false">
      <c r="A121" s="139" t="s">
        <v>1547</v>
      </c>
      <c r="B121" s="153" t="s">
        <v>1548</v>
      </c>
      <c r="C121" s="142" t="n">
        <v>45254</v>
      </c>
      <c r="D121" s="151" t="s">
        <v>1364</v>
      </c>
      <c r="E121" s="139" t="s">
        <v>1228</v>
      </c>
      <c r="F121" s="186" t="e">
        <f aca="false">UPPER(#REF!)</f>
        <v>#REF!</v>
      </c>
      <c r="G121" s="141"/>
      <c r="H121" s="141"/>
      <c r="I121" s="141"/>
      <c r="J121" s="141"/>
      <c r="K121" s="141"/>
      <c r="L121" s="143"/>
      <c r="M121" s="143"/>
    </row>
    <row r="122" customFormat="false" ht="21" hidden="false" customHeight="true" outlineLevel="0" collapsed="false">
      <c r="A122" s="144" t="s">
        <v>1549</v>
      </c>
      <c r="B122" s="144" t="s">
        <v>1550</v>
      </c>
      <c r="C122" s="147" t="n">
        <v>44083</v>
      </c>
      <c r="D122" s="149" t="s">
        <v>36</v>
      </c>
      <c r="E122" s="144" t="s">
        <v>1228</v>
      </c>
      <c r="F122" s="186" t="e">
        <f aca="false">UPPER(#REF!)</f>
        <v>#REF!</v>
      </c>
      <c r="G122" s="146"/>
      <c r="H122" s="146"/>
      <c r="I122" s="146"/>
      <c r="J122" s="146"/>
      <c r="K122" s="146"/>
      <c r="L122" s="148"/>
      <c r="M122" s="148"/>
    </row>
    <row r="123" customFormat="false" ht="21" hidden="false" customHeight="true" outlineLevel="0" collapsed="false">
      <c r="A123" s="139" t="s">
        <v>1551</v>
      </c>
      <c r="B123" s="153" t="s">
        <v>1552</v>
      </c>
      <c r="C123" s="142" t="n">
        <v>45331</v>
      </c>
      <c r="D123" s="141" t="s">
        <v>1364</v>
      </c>
      <c r="E123" s="139" t="s">
        <v>1228</v>
      </c>
      <c r="F123" s="186" t="e">
        <f aca="false">UPPER(#REF!)</f>
        <v>#REF!</v>
      </c>
      <c r="G123" s="141"/>
      <c r="H123" s="141"/>
      <c r="I123" s="141"/>
      <c r="J123" s="141"/>
      <c r="K123" s="141"/>
      <c r="L123" s="143"/>
      <c r="M123" s="143"/>
    </row>
    <row r="124" customFormat="false" ht="21" hidden="false" customHeight="true" outlineLevel="0" collapsed="false">
      <c r="A124" s="144" t="s">
        <v>1553</v>
      </c>
      <c r="B124" s="144" t="s">
        <v>1554</v>
      </c>
      <c r="C124" s="147" t="n">
        <v>45572</v>
      </c>
      <c r="D124" s="149" t="s">
        <v>1364</v>
      </c>
      <c r="E124" s="144" t="s">
        <v>1228</v>
      </c>
      <c r="F124" s="186" t="e">
        <f aca="false">UPPER(#REF!)</f>
        <v>#REF!</v>
      </c>
      <c r="G124" s="144" t="s">
        <v>1555</v>
      </c>
      <c r="H124" s="146"/>
      <c r="I124" s="146"/>
      <c r="J124" s="146"/>
      <c r="K124" s="146"/>
      <c r="L124" s="148"/>
      <c r="M124" s="148"/>
    </row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</sheetData>
  <mergeCells count="2">
    <mergeCell ref="B1:D1"/>
    <mergeCell ref="H1:L1"/>
  </mergeCells>
  <hyperlinks>
    <hyperlink ref="E1" location="'INÍCIO'!A1" display="⌂  Início"/>
    <hyperlink ref="F1" location="'DASHBOARD EXECUTIVO'!A1" display="▦  Dashboard"/>
    <hyperlink ref="G1" location="'OUTROS CONTROLES'!A1" display="▤  Outro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3"/>
    <pageSetUpPr fitToPage="false"/>
  </sheetPr>
  <dimension ref="A1:M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2890625" defaultRowHeight="15" zeroHeight="false" outlineLevelRow="0" outlineLevelCol="0"/>
  <cols>
    <col collapsed="false" customWidth="true" hidden="false" outlineLevel="0" max="1" min="1" style="168" width="70"/>
    <col collapsed="false" customWidth="true" hidden="false" outlineLevel="0" max="3" min="2" style="166" width="14"/>
    <col collapsed="false" customWidth="true" hidden="false" outlineLevel="0" max="5" min="4" style="166" width="18.29"/>
    <col collapsed="false" customWidth="true" hidden="false" outlineLevel="0" max="6" min="6" style="166" width="14"/>
    <col collapsed="false" customWidth="true" hidden="false" outlineLevel="0" max="9" min="7" style="0" width="14"/>
    <col collapsed="false" customWidth="true" hidden="false" outlineLevel="0" max="10" min="10" style="166" width="41"/>
    <col collapsed="false" customWidth="true" hidden="false" outlineLevel="0" max="12" min="11" style="0" width="3"/>
    <col collapsed="false" customWidth="true" hidden="false" outlineLevel="0" max="13" min="13" style="0" width="15"/>
    <col collapsed="false" customWidth="false" hidden="false" outlineLevel="0" max="16384" min="14" style="166" width="9.29"/>
  </cols>
  <sheetData>
    <row r="1" s="173" customFormat="true" ht="39.75" hidden="false" customHeight="true" outlineLevel="0" collapsed="false">
      <c r="A1" s="187"/>
      <c r="B1" s="135" t="s">
        <v>116</v>
      </c>
      <c r="C1" s="135"/>
      <c r="D1" s="135"/>
      <c r="E1" s="55" t="s">
        <v>64</v>
      </c>
      <c r="F1" s="55" t="s">
        <v>65</v>
      </c>
      <c r="G1" s="55" t="s">
        <v>69</v>
      </c>
      <c r="H1" s="136" t="str">
        <f aca="false">COUNTA($A$3:$A$43)&amp;" registros"</f>
        <v>35 registros</v>
      </c>
      <c r="I1" s="136"/>
      <c r="J1" s="136"/>
      <c r="K1" s="136"/>
      <c r="L1" s="188"/>
      <c r="M1" s="172"/>
    </row>
    <row r="2" s="182" customFormat="true" ht="31.5" hidden="false" customHeight="true" outlineLevel="0" collapsed="false">
      <c r="A2" s="105" t="s">
        <v>774</v>
      </c>
      <c r="B2" s="105" t="s">
        <v>1222</v>
      </c>
      <c r="C2" s="105" t="s">
        <v>88</v>
      </c>
      <c r="D2" s="105" t="s">
        <v>1223</v>
      </c>
      <c r="E2" s="105" t="s">
        <v>947</v>
      </c>
      <c r="F2" s="105" t="s">
        <v>144</v>
      </c>
      <c r="G2" s="105"/>
      <c r="H2" s="105"/>
      <c r="I2" s="105"/>
      <c r="J2" s="105" t="s">
        <v>1070</v>
      </c>
      <c r="K2" s="137"/>
      <c r="L2" s="137"/>
      <c r="M2" s="137"/>
    </row>
    <row r="3" customFormat="false" ht="21" hidden="false" customHeight="true" outlineLevel="0" collapsed="false">
      <c r="A3" s="139" t="s">
        <v>1556</v>
      </c>
      <c r="B3" s="142" t="n">
        <v>44622</v>
      </c>
      <c r="C3" s="151" t="s">
        <v>38</v>
      </c>
      <c r="D3" s="139" t="s">
        <v>1557</v>
      </c>
      <c r="E3" s="139" t="s">
        <v>1558</v>
      </c>
      <c r="F3" s="141"/>
      <c r="G3" s="141"/>
      <c r="H3" s="141"/>
      <c r="I3" s="141"/>
      <c r="J3" s="139" t="s">
        <v>1074</v>
      </c>
      <c r="K3" s="143"/>
      <c r="L3" s="143"/>
      <c r="M3" s="143"/>
    </row>
    <row r="4" customFormat="false" ht="21" hidden="false" customHeight="true" outlineLevel="0" collapsed="false">
      <c r="A4" s="144" t="s">
        <v>1559</v>
      </c>
      <c r="B4" s="147" t="n">
        <v>44622</v>
      </c>
      <c r="C4" s="149" t="s">
        <v>38</v>
      </c>
      <c r="D4" s="144" t="s">
        <v>1557</v>
      </c>
      <c r="E4" s="144" t="s">
        <v>1558</v>
      </c>
      <c r="F4" s="146"/>
      <c r="G4" s="146"/>
      <c r="H4" s="146"/>
      <c r="I4" s="146"/>
      <c r="J4" s="144" t="s">
        <v>1074</v>
      </c>
      <c r="K4" s="148"/>
      <c r="L4" s="148"/>
      <c r="M4" s="148"/>
    </row>
    <row r="5" customFormat="false" ht="21" hidden="false" customHeight="true" outlineLevel="0" collapsed="false">
      <c r="A5" s="139" t="s">
        <v>1560</v>
      </c>
      <c r="B5" s="142" t="n">
        <v>44622</v>
      </c>
      <c r="C5" s="151" t="s">
        <v>38</v>
      </c>
      <c r="D5" s="139" t="s">
        <v>1557</v>
      </c>
      <c r="E5" s="139" t="s">
        <v>1558</v>
      </c>
      <c r="F5" s="141"/>
      <c r="G5" s="141"/>
      <c r="H5" s="141"/>
      <c r="I5" s="141"/>
      <c r="J5" s="139" t="s">
        <v>1074</v>
      </c>
      <c r="K5" s="143"/>
      <c r="L5" s="143"/>
      <c r="M5" s="143"/>
    </row>
    <row r="6" customFormat="false" ht="21" hidden="false" customHeight="true" outlineLevel="0" collapsed="false">
      <c r="A6" s="144" t="s">
        <v>1561</v>
      </c>
      <c r="B6" s="147" t="n">
        <v>44622</v>
      </c>
      <c r="C6" s="149" t="s">
        <v>38</v>
      </c>
      <c r="D6" s="144" t="s">
        <v>1557</v>
      </c>
      <c r="E6" s="144" t="s">
        <v>1558</v>
      </c>
      <c r="F6" s="146"/>
      <c r="G6" s="146"/>
      <c r="H6" s="146"/>
      <c r="I6" s="146"/>
      <c r="J6" s="144" t="s">
        <v>1074</v>
      </c>
      <c r="K6" s="148"/>
      <c r="L6" s="148"/>
      <c r="M6" s="148"/>
    </row>
    <row r="7" customFormat="false" ht="21" hidden="false" customHeight="true" outlineLevel="0" collapsed="false">
      <c r="A7" s="139" t="s">
        <v>1562</v>
      </c>
      <c r="B7" s="142" t="n">
        <v>44622</v>
      </c>
      <c r="C7" s="151" t="s">
        <v>38</v>
      </c>
      <c r="D7" s="139" t="s">
        <v>1557</v>
      </c>
      <c r="E7" s="139" t="s">
        <v>1558</v>
      </c>
      <c r="F7" s="141"/>
      <c r="G7" s="141"/>
      <c r="H7" s="141"/>
      <c r="I7" s="141"/>
      <c r="J7" s="139" t="s">
        <v>1074</v>
      </c>
      <c r="K7" s="143"/>
      <c r="L7" s="143"/>
      <c r="M7" s="143"/>
    </row>
    <row r="8" s="178" customFormat="true" ht="21" hidden="false" customHeight="true" outlineLevel="0" collapsed="false">
      <c r="A8" s="144" t="s">
        <v>1563</v>
      </c>
      <c r="B8" s="147" t="n">
        <v>44622</v>
      </c>
      <c r="C8" s="149" t="s">
        <v>38</v>
      </c>
      <c r="D8" s="144" t="s">
        <v>1557</v>
      </c>
      <c r="E8" s="144" t="s">
        <v>1558</v>
      </c>
      <c r="F8" s="146"/>
      <c r="G8" s="146"/>
      <c r="H8" s="146"/>
      <c r="I8" s="146"/>
      <c r="J8" s="144" t="s">
        <v>1074</v>
      </c>
      <c r="K8" s="148"/>
      <c r="L8" s="148"/>
      <c r="M8" s="148"/>
    </row>
    <row r="9" s="178" customFormat="true" ht="21" hidden="false" customHeight="true" outlineLevel="0" collapsed="false">
      <c r="A9" s="139" t="s">
        <v>1564</v>
      </c>
      <c r="B9" s="142" t="n">
        <v>44622</v>
      </c>
      <c r="C9" s="151" t="s">
        <v>38</v>
      </c>
      <c r="D9" s="139" t="s">
        <v>1557</v>
      </c>
      <c r="E9" s="139" t="s">
        <v>1558</v>
      </c>
      <c r="F9" s="141"/>
      <c r="G9" s="141"/>
      <c r="H9" s="141"/>
      <c r="I9" s="141"/>
      <c r="J9" s="139" t="s">
        <v>1074</v>
      </c>
      <c r="K9" s="143"/>
      <c r="L9" s="143"/>
      <c r="M9" s="143"/>
    </row>
    <row r="10" s="178" customFormat="true" ht="21" hidden="false" customHeight="true" outlineLevel="0" collapsed="false">
      <c r="A10" s="144" t="s">
        <v>1565</v>
      </c>
      <c r="B10" s="147" t="n">
        <v>44622</v>
      </c>
      <c r="C10" s="149" t="s">
        <v>38</v>
      </c>
      <c r="D10" s="144" t="s">
        <v>1557</v>
      </c>
      <c r="E10" s="144" t="s">
        <v>1558</v>
      </c>
      <c r="F10" s="146"/>
      <c r="G10" s="146"/>
      <c r="H10" s="146"/>
      <c r="I10" s="146"/>
      <c r="J10" s="146"/>
      <c r="K10" s="148"/>
      <c r="L10" s="148"/>
      <c r="M10" s="148"/>
    </row>
    <row r="11" s="178" customFormat="true" ht="21" hidden="false" customHeight="true" outlineLevel="0" collapsed="false">
      <c r="A11" s="139" t="s">
        <v>1566</v>
      </c>
      <c r="B11" s="142" t="n">
        <v>44622</v>
      </c>
      <c r="C11" s="151" t="s">
        <v>38</v>
      </c>
      <c r="D11" s="139" t="s">
        <v>1557</v>
      </c>
      <c r="E11" s="139" t="s">
        <v>1558</v>
      </c>
      <c r="F11" s="141"/>
      <c r="G11" s="141"/>
      <c r="H11" s="141"/>
      <c r="I11" s="141"/>
      <c r="J11" s="139" t="s">
        <v>1074</v>
      </c>
      <c r="K11" s="143"/>
      <c r="L11" s="143"/>
      <c r="M11" s="143"/>
    </row>
    <row r="12" s="178" customFormat="true" ht="21" hidden="false" customHeight="true" outlineLevel="0" collapsed="false">
      <c r="A12" s="144" t="s">
        <v>1567</v>
      </c>
      <c r="B12" s="147" t="n">
        <v>44623</v>
      </c>
      <c r="C12" s="149" t="s">
        <v>38</v>
      </c>
      <c r="D12" s="144" t="s">
        <v>1557</v>
      </c>
      <c r="E12" s="144" t="s">
        <v>1558</v>
      </c>
      <c r="F12" s="146"/>
      <c r="G12" s="146"/>
      <c r="H12" s="146"/>
      <c r="I12" s="146"/>
      <c r="J12" s="144" t="s">
        <v>1074</v>
      </c>
      <c r="K12" s="148"/>
      <c r="L12" s="148"/>
      <c r="M12" s="148"/>
    </row>
    <row r="13" s="178" customFormat="true" ht="21" hidden="false" customHeight="true" outlineLevel="0" collapsed="false">
      <c r="A13" s="139" t="s">
        <v>1568</v>
      </c>
      <c r="B13" s="142" t="n">
        <v>44623</v>
      </c>
      <c r="C13" s="151" t="s">
        <v>38</v>
      </c>
      <c r="D13" s="139" t="s">
        <v>1557</v>
      </c>
      <c r="E13" s="139" t="s">
        <v>1558</v>
      </c>
      <c r="F13" s="141"/>
      <c r="G13" s="141"/>
      <c r="H13" s="141"/>
      <c r="I13" s="141"/>
      <c r="J13" s="139" t="s">
        <v>1074</v>
      </c>
      <c r="K13" s="143"/>
      <c r="L13" s="143"/>
      <c r="M13" s="143"/>
    </row>
    <row r="14" s="178" customFormat="true" ht="21" hidden="false" customHeight="true" outlineLevel="0" collapsed="false">
      <c r="A14" s="144" t="s">
        <v>1569</v>
      </c>
      <c r="B14" s="147" t="n">
        <v>44623</v>
      </c>
      <c r="C14" s="149" t="s">
        <v>38</v>
      </c>
      <c r="D14" s="144" t="s">
        <v>1557</v>
      </c>
      <c r="E14" s="144" t="s">
        <v>1558</v>
      </c>
      <c r="F14" s="146"/>
      <c r="G14" s="146"/>
      <c r="H14" s="146"/>
      <c r="I14" s="146"/>
      <c r="J14" s="144" t="s">
        <v>1111</v>
      </c>
      <c r="K14" s="148"/>
      <c r="L14" s="148"/>
      <c r="M14" s="148"/>
    </row>
    <row r="15" s="178" customFormat="true" ht="21" hidden="false" customHeight="true" outlineLevel="0" collapsed="false">
      <c r="A15" s="139" t="s">
        <v>1570</v>
      </c>
      <c r="B15" s="142" t="n">
        <v>44623</v>
      </c>
      <c r="C15" s="151" t="s">
        <v>38</v>
      </c>
      <c r="D15" s="139" t="s">
        <v>1557</v>
      </c>
      <c r="E15" s="139" t="s">
        <v>1558</v>
      </c>
      <c r="F15" s="141"/>
      <c r="G15" s="141"/>
      <c r="H15" s="141"/>
      <c r="I15" s="141"/>
      <c r="J15" s="139" t="s">
        <v>1111</v>
      </c>
      <c r="K15" s="143"/>
      <c r="L15" s="143"/>
      <c r="M15" s="143"/>
    </row>
    <row r="16" s="178" customFormat="true" ht="21" hidden="false" customHeight="true" outlineLevel="0" collapsed="false">
      <c r="A16" s="144" t="s">
        <v>1571</v>
      </c>
      <c r="B16" s="147" t="n">
        <v>44623</v>
      </c>
      <c r="C16" s="149" t="s">
        <v>38</v>
      </c>
      <c r="D16" s="144" t="s">
        <v>1557</v>
      </c>
      <c r="E16" s="144" t="s">
        <v>1558</v>
      </c>
      <c r="F16" s="146"/>
      <c r="G16" s="146"/>
      <c r="H16" s="146"/>
      <c r="I16" s="146"/>
      <c r="J16" s="144" t="s">
        <v>1111</v>
      </c>
      <c r="K16" s="148"/>
      <c r="L16" s="148"/>
      <c r="M16" s="148"/>
    </row>
    <row r="17" s="178" customFormat="true" ht="21" hidden="false" customHeight="true" outlineLevel="0" collapsed="false">
      <c r="A17" s="139" t="s">
        <v>1572</v>
      </c>
      <c r="B17" s="142" t="n">
        <v>44623</v>
      </c>
      <c r="C17" s="151" t="s">
        <v>38</v>
      </c>
      <c r="D17" s="139" t="s">
        <v>1557</v>
      </c>
      <c r="E17" s="139" t="s">
        <v>1558</v>
      </c>
      <c r="F17" s="141"/>
      <c r="G17" s="141"/>
      <c r="H17" s="141"/>
      <c r="I17" s="141"/>
      <c r="J17" s="139" t="s">
        <v>1139</v>
      </c>
      <c r="K17" s="143"/>
      <c r="L17" s="143"/>
      <c r="M17" s="143"/>
    </row>
    <row r="18" s="178" customFormat="true" ht="21" hidden="false" customHeight="true" outlineLevel="0" collapsed="false">
      <c r="A18" s="144" t="s">
        <v>1573</v>
      </c>
      <c r="B18" s="147" t="n">
        <v>44623</v>
      </c>
      <c r="C18" s="149" t="s">
        <v>38</v>
      </c>
      <c r="D18" s="144" t="s">
        <v>1557</v>
      </c>
      <c r="E18" s="144" t="s">
        <v>1558</v>
      </c>
      <c r="F18" s="146"/>
      <c r="G18" s="146"/>
      <c r="H18" s="146"/>
      <c r="I18" s="146"/>
      <c r="J18" s="144" t="s">
        <v>1139</v>
      </c>
      <c r="K18" s="148"/>
      <c r="L18" s="148"/>
      <c r="M18" s="148"/>
    </row>
    <row r="19" s="178" customFormat="true" ht="21" hidden="false" customHeight="true" outlineLevel="0" collapsed="false">
      <c r="A19" s="139" t="s">
        <v>1574</v>
      </c>
      <c r="B19" s="142" t="n">
        <v>44623</v>
      </c>
      <c r="C19" s="151" t="s">
        <v>38</v>
      </c>
      <c r="D19" s="139" t="s">
        <v>1557</v>
      </c>
      <c r="E19" s="139" t="s">
        <v>1558</v>
      </c>
      <c r="F19" s="141"/>
      <c r="G19" s="141"/>
      <c r="H19" s="141"/>
      <c r="I19" s="141"/>
      <c r="J19" s="139" t="s">
        <v>1139</v>
      </c>
      <c r="K19" s="143"/>
      <c r="L19" s="143"/>
      <c r="M19" s="143"/>
    </row>
    <row r="20" s="178" customFormat="true" ht="21" hidden="false" customHeight="true" outlineLevel="0" collapsed="false">
      <c r="A20" s="144" t="s">
        <v>1575</v>
      </c>
      <c r="B20" s="147" t="n">
        <v>44623</v>
      </c>
      <c r="C20" s="149" t="s">
        <v>38</v>
      </c>
      <c r="D20" s="144" t="s">
        <v>1557</v>
      </c>
      <c r="E20" s="144" t="s">
        <v>1558</v>
      </c>
      <c r="F20" s="146"/>
      <c r="G20" s="146"/>
      <c r="H20" s="146"/>
      <c r="I20" s="146"/>
      <c r="J20" s="146"/>
      <c r="K20" s="148"/>
      <c r="L20" s="148"/>
      <c r="M20" s="148"/>
    </row>
    <row r="21" s="178" customFormat="true" ht="21" hidden="false" customHeight="true" outlineLevel="0" collapsed="false">
      <c r="A21" s="139" t="s">
        <v>1576</v>
      </c>
      <c r="B21" s="142" t="n">
        <v>44623</v>
      </c>
      <c r="C21" s="151" t="s">
        <v>38</v>
      </c>
      <c r="D21" s="139" t="s">
        <v>1557</v>
      </c>
      <c r="E21" s="139" t="s">
        <v>1558</v>
      </c>
      <c r="F21" s="141"/>
      <c r="G21" s="141"/>
      <c r="H21" s="141"/>
      <c r="I21" s="141"/>
      <c r="J21" s="141"/>
      <c r="K21" s="143"/>
      <c r="L21" s="143"/>
      <c r="M21" s="143"/>
    </row>
    <row r="22" s="178" customFormat="true" ht="21" hidden="false" customHeight="true" outlineLevel="0" collapsed="false">
      <c r="A22" s="144" t="s">
        <v>1577</v>
      </c>
      <c r="B22" s="147" t="n">
        <v>44623</v>
      </c>
      <c r="C22" s="149" t="s">
        <v>38</v>
      </c>
      <c r="D22" s="144" t="s">
        <v>1557</v>
      </c>
      <c r="E22" s="144" t="s">
        <v>1558</v>
      </c>
      <c r="F22" s="146"/>
      <c r="G22" s="146"/>
      <c r="H22" s="146"/>
      <c r="I22" s="146"/>
      <c r="J22" s="146"/>
      <c r="K22" s="148"/>
      <c r="L22" s="148"/>
      <c r="M22" s="148"/>
    </row>
    <row r="23" s="178" customFormat="true" ht="21" hidden="false" customHeight="true" outlineLevel="0" collapsed="false">
      <c r="A23" s="139" t="s">
        <v>1578</v>
      </c>
      <c r="B23" s="142" t="n">
        <v>44623</v>
      </c>
      <c r="C23" s="151" t="s">
        <v>38</v>
      </c>
      <c r="D23" s="139" t="s">
        <v>1557</v>
      </c>
      <c r="E23" s="139" t="s">
        <v>1558</v>
      </c>
      <c r="F23" s="141"/>
      <c r="G23" s="141"/>
      <c r="H23" s="141"/>
      <c r="I23" s="141"/>
      <c r="J23" s="141"/>
      <c r="K23" s="143"/>
      <c r="L23" s="143"/>
      <c r="M23" s="143"/>
    </row>
    <row r="24" s="178" customFormat="true" ht="21" hidden="false" customHeight="true" outlineLevel="0" collapsed="false">
      <c r="A24" s="144" t="s">
        <v>1579</v>
      </c>
      <c r="B24" s="147" t="n">
        <v>44623</v>
      </c>
      <c r="C24" s="149" t="s">
        <v>38</v>
      </c>
      <c r="D24" s="144" t="s">
        <v>1557</v>
      </c>
      <c r="E24" s="144" t="s">
        <v>1558</v>
      </c>
      <c r="F24" s="146"/>
      <c r="G24" s="146"/>
      <c r="H24" s="146"/>
      <c r="I24" s="146"/>
      <c r="J24" s="146"/>
      <c r="K24" s="148"/>
      <c r="L24" s="148"/>
      <c r="M24" s="148"/>
    </row>
    <row r="25" s="178" customFormat="true" ht="21" hidden="false" customHeight="true" outlineLevel="0" collapsed="false">
      <c r="A25" s="139" t="s">
        <v>1580</v>
      </c>
      <c r="B25" s="142" t="n">
        <v>44623</v>
      </c>
      <c r="C25" s="151" t="s">
        <v>38</v>
      </c>
      <c r="D25" s="139" t="s">
        <v>1557</v>
      </c>
      <c r="E25" s="139" t="s">
        <v>1558</v>
      </c>
      <c r="F25" s="141"/>
      <c r="G25" s="141"/>
      <c r="H25" s="141"/>
      <c r="I25" s="141"/>
      <c r="J25" s="141"/>
      <c r="K25" s="143"/>
      <c r="L25" s="143"/>
      <c r="M25" s="143"/>
    </row>
    <row r="26" s="178" customFormat="true" ht="21" hidden="false" customHeight="true" outlineLevel="0" collapsed="false">
      <c r="A26" s="144" t="s">
        <v>1581</v>
      </c>
      <c r="B26" s="147" t="n">
        <v>44624</v>
      </c>
      <c r="C26" s="149" t="s">
        <v>38</v>
      </c>
      <c r="D26" s="144" t="s">
        <v>1557</v>
      </c>
      <c r="E26" s="144" t="s">
        <v>1558</v>
      </c>
      <c r="F26" s="146"/>
      <c r="G26" s="146"/>
      <c r="H26" s="146"/>
      <c r="I26" s="146"/>
      <c r="J26" s="146"/>
      <c r="K26" s="148"/>
      <c r="L26" s="148"/>
      <c r="M26" s="148"/>
    </row>
    <row r="27" s="178" customFormat="true" ht="21" hidden="false" customHeight="true" outlineLevel="0" collapsed="false">
      <c r="A27" s="139" t="s">
        <v>1582</v>
      </c>
      <c r="B27" s="142" t="n">
        <v>44624</v>
      </c>
      <c r="C27" s="151" t="s">
        <v>38</v>
      </c>
      <c r="D27" s="139" t="s">
        <v>1557</v>
      </c>
      <c r="E27" s="139" t="s">
        <v>1558</v>
      </c>
      <c r="F27" s="141"/>
      <c r="G27" s="141"/>
      <c r="H27" s="141"/>
      <c r="I27" s="141"/>
      <c r="J27" s="141"/>
      <c r="K27" s="143"/>
      <c r="L27" s="143"/>
      <c r="M27" s="143"/>
    </row>
    <row r="28" customFormat="false" ht="21" hidden="false" customHeight="true" outlineLevel="0" collapsed="false">
      <c r="A28" s="144" t="s">
        <v>1583</v>
      </c>
      <c r="B28" s="147" t="n">
        <v>44624</v>
      </c>
      <c r="C28" s="149" t="s">
        <v>38</v>
      </c>
      <c r="D28" s="144" t="s">
        <v>1557</v>
      </c>
      <c r="E28" s="144" t="s">
        <v>1558</v>
      </c>
      <c r="F28" s="146"/>
      <c r="G28" s="146"/>
      <c r="H28" s="146"/>
      <c r="I28" s="146"/>
      <c r="J28" s="146"/>
      <c r="K28" s="148"/>
      <c r="L28" s="148"/>
      <c r="M28" s="148"/>
    </row>
    <row r="29" s="178" customFormat="true" ht="21" hidden="false" customHeight="true" outlineLevel="0" collapsed="false">
      <c r="A29" s="139" t="s">
        <v>1584</v>
      </c>
      <c r="B29" s="142" t="n">
        <v>44624</v>
      </c>
      <c r="C29" s="151" t="s">
        <v>38</v>
      </c>
      <c r="D29" s="139" t="s">
        <v>1557</v>
      </c>
      <c r="E29" s="139" t="s">
        <v>1558</v>
      </c>
      <c r="F29" s="141"/>
      <c r="G29" s="141"/>
      <c r="H29" s="141"/>
      <c r="I29" s="141"/>
      <c r="J29" s="141"/>
      <c r="K29" s="143"/>
      <c r="L29" s="143"/>
      <c r="M29" s="143"/>
    </row>
    <row r="30" s="178" customFormat="true" ht="21" hidden="false" customHeight="true" outlineLevel="0" collapsed="false">
      <c r="A30" s="144" t="s">
        <v>1585</v>
      </c>
      <c r="B30" s="147" t="n">
        <v>44624</v>
      </c>
      <c r="C30" s="149" t="s">
        <v>38</v>
      </c>
      <c r="D30" s="144" t="s">
        <v>1557</v>
      </c>
      <c r="E30" s="144" t="s">
        <v>1558</v>
      </c>
      <c r="F30" s="146"/>
      <c r="G30" s="146"/>
      <c r="H30" s="146"/>
      <c r="I30" s="146"/>
      <c r="J30" s="146"/>
      <c r="K30" s="148"/>
      <c r="L30" s="148"/>
      <c r="M30" s="148"/>
    </row>
    <row r="31" s="178" customFormat="true" ht="21" hidden="false" customHeight="true" outlineLevel="0" collapsed="false">
      <c r="A31" s="139" t="s">
        <v>1586</v>
      </c>
      <c r="B31" s="142" t="n">
        <v>44624</v>
      </c>
      <c r="C31" s="151" t="s">
        <v>38</v>
      </c>
      <c r="D31" s="139" t="s">
        <v>1557</v>
      </c>
      <c r="E31" s="139" t="s">
        <v>1558</v>
      </c>
      <c r="F31" s="141"/>
      <c r="G31" s="141"/>
      <c r="H31" s="141"/>
      <c r="I31" s="141"/>
      <c r="J31" s="141"/>
      <c r="K31" s="143"/>
      <c r="L31" s="143"/>
      <c r="M31" s="143"/>
    </row>
    <row r="32" s="178" customFormat="true" ht="21" hidden="false" customHeight="true" outlineLevel="0" collapsed="false">
      <c r="A32" s="144" t="s">
        <v>1587</v>
      </c>
      <c r="B32" s="162" t="s">
        <v>1588</v>
      </c>
      <c r="C32" s="149" t="s">
        <v>38</v>
      </c>
      <c r="D32" s="144" t="s">
        <v>1557</v>
      </c>
      <c r="E32" s="144" t="s">
        <v>1558</v>
      </c>
      <c r="F32" s="146"/>
      <c r="G32" s="146"/>
      <c r="H32" s="146"/>
      <c r="I32" s="146"/>
      <c r="J32" s="146"/>
      <c r="K32" s="148"/>
      <c r="L32" s="148"/>
      <c r="M32" s="148"/>
    </row>
    <row r="33" s="178" customFormat="true" ht="21" hidden="false" customHeight="true" outlineLevel="0" collapsed="false">
      <c r="A33" s="139" t="s">
        <v>1589</v>
      </c>
      <c r="B33" s="153" t="s">
        <v>1588</v>
      </c>
      <c r="C33" s="151" t="s">
        <v>38</v>
      </c>
      <c r="D33" s="139" t="s">
        <v>1557</v>
      </c>
      <c r="E33" s="139" t="s">
        <v>1558</v>
      </c>
      <c r="F33" s="141"/>
      <c r="G33" s="141"/>
      <c r="H33" s="141"/>
      <c r="I33" s="141"/>
      <c r="J33" s="141"/>
      <c r="K33" s="143"/>
      <c r="L33" s="143"/>
      <c r="M33" s="143"/>
    </row>
    <row r="34" s="178" customFormat="true" ht="21" hidden="false" customHeight="true" outlineLevel="0" collapsed="false">
      <c r="A34" s="144" t="s">
        <v>1590</v>
      </c>
      <c r="B34" s="162" t="s">
        <v>1588</v>
      </c>
      <c r="C34" s="149" t="s">
        <v>38</v>
      </c>
      <c r="D34" s="144" t="s">
        <v>1557</v>
      </c>
      <c r="E34" s="144" t="s">
        <v>1558</v>
      </c>
      <c r="F34" s="146"/>
      <c r="G34" s="146"/>
      <c r="H34" s="146"/>
      <c r="I34" s="146"/>
      <c r="J34" s="146"/>
      <c r="K34" s="148"/>
      <c r="L34" s="148"/>
      <c r="M34" s="148"/>
    </row>
    <row r="35" customFormat="false" ht="21" hidden="false" customHeight="true" outlineLevel="0" collapsed="false">
      <c r="A35" s="139" t="s">
        <v>1591</v>
      </c>
      <c r="B35" s="153" t="s">
        <v>1588</v>
      </c>
      <c r="C35" s="151" t="s">
        <v>38</v>
      </c>
      <c r="D35" s="139" t="s">
        <v>1557</v>
      </c>
      <c r="E35" s="139" t="s">
        <v>1558</v>
      </c>
      <c r="F35" s="141"/>
      <c r="G35" s="141"/>
      <c r="H35" s="141"/>
      <c r="I35" s="141"/>
      <c r="J35" s="141"/>
      <c r="K35" s="143"/>
      <c r="L35" s="143"/>
      <c r="M35" s="143"/>
    </row>
    <row r="36" customFormat="false" ht="21" hidden="false" customHeight="true" outlineLevel="0" collapsed="false">
      <c r="A36" s="144" t="s">
        <v>1592</v>
      </c>
      <c r="B36" s="162" t="s">
        <v>1588</v>
      </c>
      <c r="C36" s="149" t="s">
        <v>38</v>
      </c>
      <c r="D36" s="144" t="s">
        <v>1557</v>
      </c>
      <c r="E36" s="144" t="s">
        <v>1558</v>
      </c>
      <c r="F36" s="146"/>
      <c r="G36" s="146"/>
      <c r="H36" s="146"/>
      <c r="I36" s="146"/>
      <c r="J36" s="146"/>
      <c r="K36" s="148"/>
      <c r="L36" s="148"/>
      <c r="M36" s="148"/>
    </row>
    <row r="37" customFormat="false" ht="21" hidden="false" customHeight="true" outlineLevel="0" collapsed="false">
      <c r="A37" s="139" t="s">
        <v>1593</v>
      </c>
      <c r="B37" s="153" t="s">
        <v>1588</v>
      </c>
      <c r="C37" s="151" t="s">
        <v>38</v>
      </c>
      <c r="D37" s="139" t="s">
        <v>1557</v>
      </c>
      <c r="E37" s="139" t="s">
        <v>1558</v>
      </c>
      <c r="F37" s="141"/>
      <c r="G37" s="141"/>
      <c r="H37" s="141"/>
      <c r="I37" s="141"/>
      <c r="J37" s="141"/>
      <c r="K37" s="143"/>
      <c r="L37" s="143"/>
      <c r="M37" s="143"/>
    </row>
    <row r="38" customFormat="false" ht="21" hidden="false" customHeight="true" outlineLevel="0" collapsed="false">
      <c r="A38" s="184"/>
      <c r="B38" s="146"/>
      <c r="C38" s="184"/>
      <c r="D38" s="146"/>
      <c r="E38" s="146"/>
      <c r="F38" s="146"/>
      <c r="G38" s="146"/>
      <c r="H38" s="146"/>
      <c r="I38" s="146"/>
      <c r="J38" s="146"/>
    </row>
    <row r="39" customFormat="false" ht="21" hidden="false" customHeight="true" outlineLevel="0" collapsed="false">
      <c r="A39" s="141"/>
      <c r="B39" s="151"/>
      <c r="C39" s="151"/>
      <c r="D39" s="141"/>
      <c r="E39" s="141"/>
      <c r="F39" s="141"/>
      <c r="G39" s="141"/>
      <c r="H39" s="141"/>
      <c r="I39" s="141"/>
      <c r="J39" s="141"/>
    </row>
    <row r="40" customFormat="false" ht="21" hidden="false" customHeight="true" outlineLevel="0" collapsed="false">
      <c r="A40" s="184"/>
      <c r="B40" s="149"/>
      <c r="C40" s="184"/>
      <c r="D40" s="146"/>
      <c r="E40" s="146"/>
      <c r="F40" s="146"/>
      <c r="G40" s="146"/>
      <c r="H40" s="146"/>
      <c r="I40" s="146"/>
      <c r="J40" s="146"/>
    </row>
    <row r="41" customFormat="false" ht="21" hidden="false" customHeight="true" outlineLevel="0" collapsed="false">
      <c r="A41" s="141"/>
      <c r="B41" s="151"/>
      <c r="C41" s="151"/>
      <c r="D41" s="141"/>
      <c r="E41" s="141"/>
      <c r="F41" s="141"/>
      <c r="G41" s="141"/>
      <c r="H41" s="141"/>
      <c r="I41" s="141"/>
      <c r="J41" s="141"/>
    </row>
    <row r="42" customFormat="false" ht="21" hidden="false" customHeight="true" outlineLevel="0" collapsed="false">
      <c r="A42" s="184"/>
      <c r="B42" s="146"/>
      <c r="C42" s="184"/>
      <c r="D42" s="146"/>
      <c r="E42" s="146"/>
      <c r="F42" s="146"/>
      <c r="G42" s="146"/>
      <c r="H42" s="146"/>
      <c r="I42" s="146"/>
      <c r="J42" s="146"/>
    </row>
    <row r="43" customFormat="false" ht="21" hidden="false" customHeight="true" outlineLevel="0" collapsed="false">
      <c r="A43" s="141"/>
      <c r="B43" s="151"/>
      <c r="C43" s="151"/>
      <c r="D43" s="141"/>
      <c r="E43" s="141"/>
      <c r="F43" s="141"/>
      <c r="G43" s="141"/>
      <c r="H43" s="141"/>
      <c r="I43" s="141"/>
      <c r="J43" s="141"/>
    </row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18" hidden="false" customHeight="true" outlineLevel="0" collapsed="false"/>
    <row r="72" customFormat="false" ht="18" hidden="false" customHeight="true" outlineLevel="0" collapsed="false"/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</sheetData>
  <mergeCells count="2">
    <mergeCell ref="B1:D1"/>
    <mergeCell ref="H1:K1"/>
  </mergeCells>
  <hyperlinks>
    <hyperlink ref="E1" location="'INÍCIO'!A1" display="⌂  Início"/>
    <hyperlink ref="F1" location="'DASHBOARD EXECUTIVO'!A1" display="▦  Dashboard"/>
    <hyperlink ref="G1" location="'OUTROS CONTROLES'!A1" display="▤  Outro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3"/>
    <pageSetUpPr fitToPage="false"/>
  </sheetPr>
  <dimension ref="A1:M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2890625" defaultRowHeight="15" zeroHeight="false" outlineLevelRow="0" outlineLevelCol="0"/>
  <cols>
    <col collapsed="false" customWidth="true" hidden="false" outlineLevel="0" max="1" min="1" style="168" width="70"/>
    <col collapsed="false" customWidth="true" hidden="false" outlineLevel="0" max="3" min="2" style="166" width="14"/>
    <col collapsed="false" customWidth="true" hidden="false" outlineLevel="0" max="5" min="4" style="166" width="25"/>
    <col collapsed="false" customWidth="true" hidden="false" outlineLevel="0" max="6" min="6" style="166" width="14"/>
    <col collapsed="false" customWidth="true" hidden="false" outlineLevel="0" max="9" min="7" style="0" width="14"/>
    <col collapsed="false" customWidth="true" hidden="false" outlineLevel="0" max="10" min="10" style="166" width="41"/>
    <col collapsed="false" customWidth="true" hidden="false" outlineLevel="0" max="12" min="11" style="0" width="3"/>
    <col collapsed="false" customWidth="true" hidden="false" outlineLevel="0" max="13" min="13" style="0" width="15"/>
    <col collapsed="false" customWidth="false" hidden="false" outlineLevel="0" max="16384" min="14" style="166" width="9.29"/>
  </cols>
  <sheetData>
    <row r="1" s="173" customFormat="true" ht="39.75" hidden="false" customHeight="true" outlineLevel="0" collapsed="false">
      <c r="A1" s="189"/>
      <c r="B1" s="135" t="s">
        <v>1594</v>
      </c>
      <c r="C1" s="135"/>
      <c r="D1" s="135"/>
      <c r="E1" s="55" t="s">
        <v>64</v>
      </c>
      <c r="F1" s="55" t="s">
        <v>65</v>
      </c>
      <c r="G1" s="55" t="s">
        <v>69</v>
      </c>
      <c r="H1" s="136" t="str">
        <f aca="false">COUNTA($A$3:$A$43)&amp;" registros"</f>
        <v>23 registros</v>
      </c>
      <c r="I1" s="136"/>
      <c r="J1" s="136"/>
      <c r="K1" s="136"/>
      <c r="L1" s="188"/>
      <c r="M1" s="172"/>
    </row>
    <row r="2" s="190" customFormat="true" ht="31.5" hidden="false" customHeight="true" outlineLevel="0" collapsed="false">
      <c r="A2" s="105" t="s">
        <v>774</v>
      </c>
      <c r="B2" s="105" t="s">
        <v>1222</v>
      </c>
      <c r="C2" s="105" t="s">
        <v>88</v>
      </c>
      <c r="D2" s="105" t="s">
        <v>1223</v>
      </c>
      <c r="E2" s="105" t="s">
        <v>947</v>
      </c>
      <c r="F2" s="105" t="s">
        <v>144</v>
      </c>
      <c r="G2" s="105"/>
      <c r="H2" s="105"/>
      <c r="I2" s="105"/>
      <c r="J2" s="105" t="s">
        <v>1070</v>
      </c>
      <c r="K2" s="137"/>
      <c r="L2" s="137"/>
      <c r="M2" s="137"/>
    </row>
    <row r="3" customFormat="false" ht="21" hidden="false" customHeight="true" outlineLevel="0" collapsed="false">
      <c r="A3" s="139" t="s">
        <v>1595</v>
      </c>
      <c r="B3" s="142" t="n">
        <v>44000</v>
      </c>
      <c r="C3" s="153" t="s">
        <v>1306</v>
      </c>
      <c r="D3" s="139" t="s">
        <v>1228</v>
      </c>
      <c r="E3" s="139" t="s">
        <v>1229</v>
      </c>
      <c r="F3" s="141"/>
      <c r="G3" s="141"/>
      <c r="H3" s="141"/>
      <c r="I3" s="141"/>
      <c r="J3" s="139" t="s">
        <v>1074</v>
      </c>
      <c r="K3" s="143"/>
      <c r="L3" s="143"/>
      <c r="M3" s="143"/>
    </row>
    <row r="4" customFormat="false" ht="21" hidden="false" customHeight="true" outlineLevel="0" collapsed="false">
      <c r="A4" s="144" t="s">
        <v>1596</v>
      </c>
      <c r="B4" s="147" t="n">
        <v>43997</v>
      </c>
      <c r="C4" s="162" t="s">
        <v>1306</v>
      </c>
      <c r="D4" s="144" t="s">
        <v>1228</v>
      </c>
      <c r="E4" s="144" t="s">
        <v>1229</v>
      </c>
      <c r="F4" s="146"/>
      <c r="G4" s="146"/>
      <c r="H4" s="146"/>
      <c r="I4" s="146"/>
      <c r="J4" s="144" t="s">
        <v>1074</v>
      </c>
      <c r="K4" s="148"/>
      <c r="L4" s="148"/>
      <c r="M4" s="148"/>
    </row>
    <row r="5" customFormat="false" ht="21" hidden="false" customHeight="true" outlineLevel="0" collapsed="false">
      <c r="A5" s="139" t="s">
        <v>1597</v>
      </c>
      <c r="B5" s="142" t="n">
        <v>43997</v>
      </c>
      <c r="C5" s="153" t="s">
        <v>1306</v>
      </c>
      <c r="D5" s="139" t="s">
        <v>1228</v>
      </c>
      <c r="E5" s="139" t="s">
        <v>1229</v>
      </c>
      <c r="F5" s="141"/>
      <c r="G5" s="141"/>
      <c r="H5" s="141"/>
      <c r="I5" s="141"/>
      <c r="J5" s="139" t="s">
        <v>1074</v>
      </c>
      <c r="K5" s="143"/>
      <c r="L5" s="143"/>
      <c r="M5" s="143"/>
    </row>
    <row r="6" customFormat="false" ht="21" hidden="false" customHeight="true" outlineLevel="0" collapsed="false">
      <c r="A6" s="144" t="s">
        <v>1598</v>
      </c>
      <c r="B6" s="147" t="n">
        <v>44015</v>
      </c>
      <c r="C6" s="162" t="s">
        <v>1306</v>
      </c>
      <c r="D6" s="144" t="s">
        <v>1228</v>
      </c>
      <c r="E6" s="144" t="s">
        <v>1229</v>
      </c>
      <c r="F6" s="146"/>
      <c r="G6" s="146"/>
      <c r="H6" s="146"/>
      <c r="I6" s="146"/>
      <c r="J6" s="144" t="s">
        <v>1074</v>
      </c>
      <c r="K6" s="148"/>
      <c r="L6" s="148"/>
      <c r="M6" s="148"/>
    </row>
    <row r="7" customFormat="false" ht="21" hidden="false" customHeight="true" outlineLevel="0" collapsed="false">
      <c r="A7" s="139" t="s">
        <v>1599</v>
      </c>
      <c r="B7" s="153" t="s">
        <v>1600</v>
      </c>
      <c r="C7" s="153" t="s">
        <v>1306</v>
      </c>
      <c r="D7" s="139" t="s">
        <v>1228</v>
      </c>
      <c r="E7" s="139" t="s">
        <v>1229</v>
      </c>
      <c r="F7" s="141"/>
      <c r="G7" s="141"/>
      <c r="H7" s="141"/>
      <c r="I7" s="141"/>
      <c r="J7" s="139" t="s">
        <v>1074</v>
      </c>
      <c r="K7" s="143"/>
      <c r="L7" s="143"/>
      <c r="M7" s="143"/>
    </row>
    <row r="8" s="178" customFormat="true" ht="21" hidden="false" customHeight="true" outlineLevel="0" collapsed="false">
      <c r="A8" s="144" t="s">
        <v>1601</v>
      </c>
      <c r="B8" s="147" t="n">
        <v>43998</v>
      </c>
      <c r="C8" s="162" t="s">
        <v>1306</v>
      </c>
      <c r="D8" s="144" t="s">
        <v>1228</v>
      </c>
      <c r="E8" s="144" t="s">
        <v>1229</v>
      </c>
      <c r="F8" s="146"/>
      <c r="G8" s="146"/>
      <c r="H8" s="146"/>
      <c r="I8" s="146"/>
      <c r="J8" s="144" t="s">
        <v>1074</v>
      </c>
      <c r="K8" s="148"/>
      <c r="L8" s="148"/>
      <c r="M8" s="148"/>
    </row>
    <row r="9" s="178" customFormat="true" ht="21" hidden="false" customHeight="true" outlineLevel="0" collapsed="false">
      <c r="A9" s="139" t="s">
        <v>1602</v>
      </c>
      <c r="B9" s="142" t="n">
        <v>44030</v>
      </c>
      <c r="C9" s="153" t="s">
        <v>1306</v>
      </c>
      <c r="D9" s="139" t="s">
        <v>1228</v>
      </c>
      <c r="E9" s="139" t="s">
        <v>1229</v>
      </c>
      <c r="F9" s="141"/>
      <c r="G9" s="141"/>
      <c r="H9" s="141"/>
      <c r="I9" s="141"/>
      <c r="J9" s="139" t="s">
        <v>1074</v>
      </c>
      <c r="K9" s="143"/>
      <c r="L9" s="143"/>
      <c r="M9" s="143"/>
    </row>
    <row r="10" s="178" customFormat="true" ht="21" hidden="false" customHeight="true" outlineLevel="0" collapsed="false">
      <c r="A10" s="144" t="s">
        <v>1603</v>
      </c>
      <c r="B10" s="147" t="n">
        <v>44011</v>
      </c>
      <c r="C10" s="162" t="s">
        <v>1306</v>
      </c>
      <c r="D10" s="144" t="s">
        <v>1228</v>
      </c>
      <c r="E10" s="144" t="s">
        <v>1229</v>
      </c>
      <c r="F10" s="146"/>
      <c r="G10" s="146"/>
      <c r="H10" s="146"/>
      <c r="I10" s="146"/>
      <c r="J10" s="146"/>
      <c r="K10" s="148"/>
      <c r="L10" s="148"/>
      <c r="M10" s="148"/>
    </row>
    <row r="11" s="178" customFormat="true" ht="21" hidden="false" customHeight="true" outlineLevel="0" collapsed="false">
      <c r="A11" s="139" t="s">
        <v>1604</v>
      </c>
      <c r="B11" s="142" t="n">
        <v>44030</v>
      </c>
      <c r="C11" s="153" t="s">
        <v>1306</v>
      </c>
      <c r="D11" s="139" t="s">
        <v>1228</v>
      </c>
      <c r="E11" s="139" t="s">
        <v>1229</v>
      </c>
      <c r="F11" s="141"/>
      <c r="G11" s="141"/>
      <c r="H11" s="141"/>
      <c r="I11" s="141"/>
      <c r="J11" s="139" t="s">
        <v>1074</v>
      </c>
      <c r="K11" s="143"/>
      <c r="L11" s="143"/>
      <c r="M11" s="143"/>
    </row>
    <row r="12" s="178" customFormat="true" ht="21" hidden="false" customHeight="true" outlineLevel="0" collapsed="false">
      <c r="A12" s="144" t="s">
        <v>1605</v>
      </c>
      <c r="B12" s="147" t="n">
        <v>44015</v>
      </c>
      <c r="C12" s="162" t="s">
        <v>1306</v>
      </c>
      <c r="D12" s="144" t="s">
        <v>1228</v>
      </c>
      <c r="E12" s="144" t="s">
        <v>1229</v>
      </c>
      <c r="F12" s="146"/>
      <c r="G12" s="146"/>
      <c r="H12" s="146"/>
      <c r="I12" s="146"/>
      <c r="J12" s="144" t="s">
        <v>1074</v>
      </c>
      <c r="K12" s="148"/>
      <c r="L12" s="148"/>
      <c r="M12" s="148"/>
    </row>
    <row r="13" s="178" customFormat="true" ht="21" hidden="false" customHeight="true" outlineLevel="0" collapsed="false">
      <c r="A13" s="139" t="s">
        <v>1606</v>
      </c>
      <c r="B13" s="142" t="n">
        <v>44036</v>
      </c>
      <c r="C13" s="153" t="s">
        <v>1306</v>
      </c>
      <c r="D13" s="139" t="s">
        <v>1228</v>
      </c>
      <c r="E13" s="139" t="s">
        <v>1229</v>
      </c>
      <c r="F13" s="141"/>
      <c r="G13" s="141"/>
      <c r="H13" s="141"/>
      <c r="I13" s="141"/>
      <c r="J13" s="139" t="s">
        <v>1074</v>
      </c>
      <c r="K13" s="143"/>
      <c r="L13" s="143"/>
      <c r="M13" s="143"/>
    </row>
    <row r="14" s="178" customFormat="true" ht="21" hidden="false" customHeight="true" outlineLevel="0" collapsed="false">
      <c r="A14" s="144" t="s">
        <v>1607</v>
      </c>
      <c r="B14" s="162" t="s">
        <v>1608</v>
      </c>
      <c r="C14" s="162" t="s">
        <v>1306</v>
      </c>
      <c r="D14" s="144" t="s">
        <v>1228</v>
      </c>
      <c r="E14" s="144" t="s">
        <v>1229</v>
      </c>
      <c r="F14" s="146"/>
      <c r="G14" s="146"/>
      <c r="H14" s="146"/>
      <c r="I14" s="146"/>
      <c r="J14" s="144" t="s">
        <v>1111</v>
      </c>
      <c r="K14" s="148"/>
      <c r="L14" s="148"/>
      <c r="M14" s="148"/>
    </row>
    <row r="15" s="178" customFormat="true" ht="21" hidden="false" customHeight="true" outlineLevel="0" collapsed="false">
      <c r="A15" s="139" t="s">
        <v>1609</v>
      </c>
      <c r="B15" s="142" t="n">
        <v>44040</v>
      </c>
      <c r="C15" s="153" t="s">
        <v>1306</v>
      </c>
      <c r="D15" s="139" t="s">
        <v>1228</v>
      </c>
      <c r="E15" s="139" t="s">
        <v>1229</v>
      </c>
      <c r="F15" s="141"/>
      <c r="G15" s="141"/>
      <c r="H15" s="141"/>
      <c r="I15" s="141"/>
      <c r="J15" s="139" t="s">
        <v>1111</v>
      </c>
      <c r="K15" s="143"/>
      <c r="L15" s="143"/>
      <c r="M15" s="143"/>
    </row>
    <row r="16" s="178" customFormat="true" ht="21" hidden="false" customHeight="true" outlineLevel="0" collapsed="false">
      <c r="A16" s="144" t="s">
        <v>1610</v>
      </c>
      <c r="B16" s="162" t="s">
        <v>1611</v>
      </c>
      <c r="C16" s="162" t="s">
        <v>1306</v>
      </c>
      <c r="D16" s="144" t="s">
        <v>1228</v>
      </c>
      <c r="E16" s="144" t="s">
        <v>1229</v>
      </c>
      <c r="F16" s="146"/>
      <c r="G16" s="146"/>
      <c r="H16" s="146"/>
      <c r="I16" s="146"/>
      <c r="J16" s="144" t="s">
        <v>1111</v>
      </c>
      <c r="K16" s="148"/>
      <c r="L16" s="148"/>
      <c r="M16" s="148"/>
    </row>
    <row r="17" s="178" customFormat="true" ht="21" hidden="false" customHeight="true" outlineLevel="0" collapsed="false">
      <c r="A17" s="139" t="s">
        <v>1612</v>
      </c>
      <c r="B17" s="153" t="s">
        <v>1611</v>
      </c>
      <c r="C17" s="153" t="s">
        <v>1306</v>
      </c>
      <c r="D17" s="139" t="s">
        <v>1228</v>
      </c>
      <c r="E17" s="139" t="s">
        <v>1229</v>
      </c>
      <c r="F17" s="141"/>
      <c r="G17" s="141"/>
      <c r="H17" s="141"/>
      <c r="I17" s="141"/>
      <c r="J17" s="139" t="s">
        <v>1139</v>
      </c>
      <c r="K17" s="143"/>
      <c r="L17" s="143"/>
      <c r="M17" s="143"/>
    </row>
    <row r="18" s="178" customFormat="true" ht="21" hidden="false" customHeight="true" outlineLevel="0" collapsed="false">
      <c r="A18" s="146"/>
      <c r="B18" s="149"/>
      <c r="C18" s="149"/>
      <c r="D18" s="146"/>
      <c r="E18" s="146"/>
      <c r="F18" s="146"/>
      <c r="G18" s="146"/>
      <c r="H18" s="146"/>
      <c r="I18" s="146"/>
      <c r="J18" s="144" t="s">
        <v>1139</v>
      </c>
      <c r="K18" s="148"/>
      <c r="L18" s="148"/>
      <c r="M18" s="148"/>
    </row>
    <row r="19" s="178" customFormat="true" ht="21" hidden="false" customHeight="true" outlineLevel="0" collapsed="false">
      <c r="A19" s="141"/>
      <c r="B19" s="151"/>
      <c r="C19" s="151"/>
      <c r="D19" s="141"/>
      <c r="E19" s="141"/>
      <c r="F19" s="141"/>
      <c r="G19" s="141"/>
      <c r="H19" s="141"/>
      <c r="I19" s="141"/>
      <c r="J19" s="141"/>
      <c r="K19" s="143"/>
      <c r="L19" s="143"/>
      <c r="M19" s="143"/>
    </row>
    <row r="20" s="178" customFormat="true" ht="21" hidden="false" customHeight="true" outlineLevel="0" collapsed="false">
      <c r="A20" s="144" t="s">
        <v>1613</v>
      </c>
      <c r="B20" s="149"/>
      <c r="C20" s="149"/>
      <c r="D20" s="146"/>
      <c r="E20" s="146"/>
      <c r="F20" s="146"/>
      <c r="G20" s="146"/>
      <c r="H20" s="146"/>
      <c r="I20" s="146"/>
      <c r="J20" s="146"/>
      <c r="K20" s="148"/>
      <c r="L20" s="148"/>
      <c r="M20" s="148"/>
    </row>
    <row r="21" s="178" customFormat="true" ht="21" hidden="false" customHeight="true" outlineLevel="0" collapsed="false">
      <c r="A21" s="139" t="s">
        <v>1614</v>
      </c>
      <c r="B21" s="151"/>
      <c r="C21" s="151"/>
      <c r="D21" s="141"/>
      <c r="E21" s="141"/>
      <c r="F21" s="141"/>
      <c r="G21" s="141"/>
      <c r="H21" s="141"/>
      <c r="I21" s="141"/>
      <c r="J21" s="141"/>
      <c r="K21" s="143"/>
      <c r="L21" s="143"/>
      <c r="M21" s="143"/>
    </row>
    <row r="22" s="178" customFormat="true" ht="21" hidden="false" customHeight="true" outlineLevel="0" collapsed="false">
      <c r="A22" s="144" t="s">
        <v>1615</v>
      </c>
      <c r="B22" s="149"/>
      <c r="C22" s="149"/>
      <c r="D22" s="146"/>
      <c r="E22" s="146"/>
      <c r="F22" s="146"/>
      <c r="G22" s="146"/>
      <c r="H22" s="146"/>
      <c r="I22" s="146"/>
      <c r="J22" s="146"/>
      <c r="K22" s="148"/>
      <c r="L22" s="148"/>
      <c r="M22" s="148"/>
    </row>
    <row r="23" s="178" customFormat="true" ht="21" hidden="false" customHeight="true" outlineLevel="0" collapsed="false">
      <c r="A23" s="139" t="s">
        <v>1616</v>
      </c>
      <c r="B23" s="151"/>
      <c r="C23" s="151"/>
      <c r="D23" s="141"/>
      <c r="E23" s="141"/>
      <c r="F23" s="141"/>
      <c r="G23" s="141"/>
      <c r="H23" s="141"/>
      <c r="I23" s="141"/>
      <c r="J23" s="141"/>
      <c r="K23" s="143"/>
      <c r="L23" s="143"/>
      <c r="M23" s="143"/>
    </row>
    <row r="24" s="178" customFormat="true" ht="21" hidden="false" customHeight="true" outlineLevel="0" collapsed="false">
      <c r="A24" s="144" t="s">
        <v>1617</v>
      </c>
      <c r="B24" s="149"/>
      <c r="C24" s="149"/>
      <c r="D24" s="146"/>
      <c r="E24" s="146"/>
      <c r="F24" s="146"/>
      <c r="G24" s="146"/>
      <c r="H24" s="146"/>
      <c r="I24" s="146"/>
      <c r="J24" s="146"/>
      <c r="K24" s="148"/>
      <c r="L24" s="148"/>
      <c r="M24" s="148"/>
    </row>
    <row r="25" s="178" customFormat="true" ht="21" hidden="false" customHeight="true" outlineLevel="0" collapsed="false">
      <c r="A25" s="139" t="s">
        <v>1618</v>
      </c>
      <c r="B25" s="151"/>
      <c r="C25" s="151"/>
      <c r="D25" s="141"/>
      <c r="E25" s="141"/>
      <c r="F25" s="141"/>
      <c r="G25" s="141"/>
      <c r="H25" s="141"/>
      <c r="I25" s="141"/>
      <c r="J25" s="141"/>
      <c r="K25" s="143"/>
      <c r="L25" s="143"/>
      <c r="M25" s="143"/>
    </row>
    <row r="26" s="178" customFormat="true" ht="21" hidden="false" customHeight="true" outlineLevel="0" collapsed="false">
      <c r="A26" s="144" t="s">
        <v>1619</v>
      </c>
      <c r="B26" s="149"/>
      <c r="C26" s="149"/>
      <c r="D26" s="146"/>
      <c r="E26" s="146"/>
      <c r="F26" s="146"/>
      <c r="G26" s="146"/>
      <c r="H26" s="146"/>
      <c r="I26" s="146"/>
      <c r="J26" s="146"/>
      <c r="K26" s="148"/>
      <c r="L26" s="148"/>
      <c r="M26" s="148"/>
    </row>
    <row r="27" customFormat="false" ht="21" hidden="false" customHeight="true" outlineLevel="0" collapsed="false">
      <c r="A27" s="139" t="s">
        <v>1620</v>
      </c>
      <c r="B27" s="151"/>
      <c r="C27" s="151"/>
      <c r="D27" s="141"/>
      <c r="E27" s="141"/>
      <c r="F27" s="141"/>
      <c r="G27" s="141"/>
      <c r="H27" s="141"/>
      <c r="I27" s="141"/>
      <c r="J27" s="141"/>
      <c r="K27" s="143"/>
      <c r="L27" s="143"/>
      <c r="M27" s="143"/>
    </row>
    <row r="28" s="178" customFormat="true" ht="21" hidden="false" customHeight="true" outlineLevel="0" collapsed="false">
      <c r="A28" s="146"/>
      <c r="B28" s="149"/>
      <c r="C28" s="149"/>
      <c r="D28" s="146"/>
      <c r="E28" s="146"/>
      <c r="F28" s="146"/>
      <c r="G28" s="146"/>
      <c r="H28" s="146"/>
      <c r="I28" s="146"/>
      <c r="J28" s="146"/>
      <c r="K28" s="148"/>
      <c r="L28" s="148"/>
      <c r="M28" s="148"/>
    </row>
    <row r="29" s="178" customFormat="true" ht="21" hidden="false" customHeight="true" outlineLevel="0" collapsed="false">
      <c r="A29" s="141"/>
      <c r="B29" s="151"/>
      <c r="C29" s="151"/>
      <c r="D29" s="141"/>
      <c r="E29" s="141"/>
      <c r="F29" s="141"/>
      <c r="G29" s="141"/>
      <c r="H29" s="141"/>
      <c r="I29" s="141"/>
      <c r="J29" s="141"/>
      <c r="K29" s="143"/>
      <c r="L29" s="143"/>
      <c r="M29" s="143"/>
    </row>
    <row r="30" s="178" customFormat="true" ht="21" hidden="false" customHeight="true" outlineLevel="0" collapsed="false">
      <c r="A30" s="146"/>
      <c r="B30" s="149"/>
      <c r="C30" s="149"/>
      <c r="D30" s="146"/>
      <c r="E30" s="146"/>
      <c r="F30" s="146"/>
      <c r="G30" s="146"/>
      <c r="H30" s="146"/>
      <c r="I30" s="146"/>
      <c r="J30" s="146"/>
      <c r="K30" s="148"/>
      <c r="L30" s="148"/>
      <c r="M30" s="148"/>
    </row>
    <row r="31" s="178" customFormat="true" ht="21" hidden="false" customHeight="true" outlineLevel="0" collapsed="false">
      <c r="A31" s="141"/>
      <c r="B31" s="151"/>
      <c r="C31" s="151"/>
      <c r="D31" s="141"/>
      <c r="E31" s="141"/>
      <c r="F31" s="141"/>
      <c r="G31" s="141"/>
      <c r="H31" s="141"/>
      <c r="I31" s="141"/>
      <c r="J31" s="141"/>
      <c r="K31" s="143"/>
      <c r="L31" s="143"/>
      <c r="M31" s="143"/>
    </row>
    <row r="32" s="178" customFormat="true" ht="21" hidden="false" customHeight="true" outlineLevel="0" collapsed="false">
      <c r="A32" s="146"/>
      <c r="B32" s="149"/>
      <c r="C32" s="149"/>
      <c r="D32" s="146"/>
      <c r="E32" s="146"/>
      <c r="F32" s="146"/>
      <c r="G32" s="146"/>
      <c r="H32" s="146"/>
      <c r="I32" s="146"/>
      <c r="J32" s="146"/>
      <c r="K32" s="148"/>
      <c r="L32" s="148"/>
      <c r="M32" s="148"/>
    </row>
    <row r="33" s="178" customFormat="true" ht="21" hidden="false" customHeight="true" outlineLevel="0" collapsed="false">
      <c r="A33" s="141"/>
      <c r="B33" s="151"/>
      <c r="C33" s="151"/>
      <c r="D33" s="141"/>
      <c r="E33" s="141"/>
      <c r="F33" s="141"/>
      <c r="G33" s="141"/>
      <c r="H33" s="141"/>
      <c r="I33" s="141"/>
      <c r="J33" s="141"/>
      <c r="K33" s="143"/>
      <c r="L33" s="143"/>
      <c r="M33" s="143"/>
    </row>
    <row r="34" customFormat="false" ht="21" hidden="false" customHeight="true" outlineLevel="0" collapsed="false">
      <c r="A34" s="146"/>
      <c r="B34" s="149"/>
      <c r="C34" s="149"/>
      <c r="D34" s="146"/>
      <c r="E34" s="146"/>
      <c r="F34" s="146"/>
      <c r="G34" s="146"/>
      <c r="H34" s="146"/>
      <c r="I34" s="146"/>
      <c r="J34" s="146"/>
      <c r="K34" s="148"/>
      <c r="L34" s="148"/>
      <c r="M34" s="148"/>
    </row>
    <row r="35" customFormat="false" ht="21" hidden="false" customHeight="true" outlineLevel="0" collapsed="false">
      <c r="A35" s="141"/>
      <c r="B35" s="151"/>
      <c r="C35" s="151"/>
      <c r="D35" s="141"/>
      <c r="E35" s="141"/>
      <c r="F35" s="141"/>
      <c r="G35" s="141"/>
      <c r="H35" s="141"/>
      <c r="I35" s="141"/>
      <c r="J35" s="141"/>
      <c r="K35" s="143"/>
      <c r="L35" s="143"/>
      <c r="M35" s="143"/>
    </row>
    <row r="36" customFormat="false" ht="21" hidden="false" customHeight="true" outlineLevel="0" collapsed="false">
      <c r="A36" s="146"/>
      <c r="B36" s="149"/>
      <c r="C36" s="149"/>
      <c r="D36" s="146"/>
      <c r="E36" s="146"/>
      <c r="F36" s="146"/>
      <c r="G36" s="146"/>
      <c r="H36" s="146"/>
      <c r="I36" s="146"/>
      <c r="J36" s="146"/>
      <c r="K36" s="148"/>
      <c r="L36" s="148"/>
      <c r="M36" s="148"/>
    </row>
    <row r="37" customFormat="false" ht="21" hidden="false" customHeight="true" outlineLevel="0" collapsed="false">
      <c r="A37" s="191"/>
      <c r="B37" s="151"/>
      <c r="C37" s="191"/>
      <c r="D37" s="141"/>
      <c r="E37" s="141"/>
      <c r="F37" s="141"/>
      <c r="G37" s="141"/>
      <c r="H37" s="141"/>
      <c r="I37" s="141"/>
      <c r="J37" s="141"/>
      <c r="K37" s="143"/>
      <c r="L37" s="143"/>
      <c r="M37" s="143"/>
    </row>
    <row r="38" customFormat="false" ht="21" hidden="false" customHeight="true" outlineLevel="0" collapsed="false">
      <c r="A38" s="146"/>
      <c r="B38" s="149"/>
      <c r="C38" s="149"/>
      <c r="D38" s="146"/>
      <c r="E38" s="146"/>
      <c r="F38" s="146"/>
      <c r="G38" s="146"/>
      <c r="H38" s="146"/>
      <c r="I38" s="146"/>
      <c r="J38" s="146"/>
      <c r="K38" s="148"/>
      <c r="L38" s="148"/>
      <c r="M38" s="148"/>
    </row>
    <row r="39" customFormat="false" ht="21" hidden="false" customHeight="true" outlineLevel="0" collapsed="false">
      <c r="A39" s="191"/>
      <c r="B39" s="151"/>
      <c r="C39" s="191"/>
      <c r="D39" s="141"/>
      <c r="E39" s="141"/>
      <c r="F39" s="141"/>
      <c r="G39" s="141"/>
      <c r="H39" s="141"/>
      <c r="I39" s="141"/>
      <c r="J39" s="141"/>
      <c r="K39" s="143"/>
      <c r="L39" s="143"/>
      <c r="M39" s="143"/>
    </row>
    <row r="40" customFormat="false" ht="21" hidden="false" customHeight="true" outlineLevel="0" collapsed="false">
      <c r="A40" s="146"/>
      <c r="B40" s="149"/>
      <c r="C40" s="149"/>
      <c r="D40" s="146"/>
      <c r="E40" s="146"/>
      <c r="F40" s="146"/>
      <c r="G40" s="146"/>
      <c r="H40" s="146"/>
      <c r="I40" s="146"/>
      <c r="J40" s="146"/>
      <c r="K40" s="148"/>
      <c r="L40" s="148"/>
      <c r="M40" s="148"/>
    </row>
    <row r="41" customFormat="false" ht="21" hidden="false" customHeight="true" outlineLevel="0" collapsed="false">
      <c r="A41" s="191"/>
      <c r="B41" s="151"/>
      <c r="C41" s="191"/>
      <c r="D41" s="141"/>
      <c r="E41" s="141"/>
      <c r="F41" s="141"/>
      <c r="G41" s="141"/>
      <c r="H41" s="141"/>
      <c r="I41" s="141"/>
      <c r="J41" s="141"/>
      <c r="K41" s="143"/>
      <c r="L41" s="143"/>
      <c r="M41" s="143"/>
    </row>
    <row r="42" customFormat="false" ht="21" hidden="false" customHeight="true" outlineLevel="0" collapsed="false">
      <c r="A42" s="184"/>
      <c r="B42" s="149"/>
      <c r="C42" s="184"/>
      <c r="D42" s="146"/>
      <c r="E42" s="186" t="e">
        <f aca="false">UPPER(#REF!)</f>
        <v>#REF!</v>
      </c>
      <c r="F42" s="146"/>
      <c r="G42" s="146"/>
      <c r="H42" s="146"/>
      <c r="I42" s="146"/>
      <c r="J42" s="146"/>
      <c r="K42" s="148"/>
      <c r="L42" s="148"/>
      <c r="M42" s="148"/>
    </row>
    <row r="43" customFormat="false" ht="21" hidden="false" customHeight="true" outlineLevel="0" collapsed="false">
      <c r="A43" s="141"/>
      <c r="B43" s="151"/>
      <c r="C43" s="151"/>
      <c r="D43" s="141"/>
      <c r="E43" s="141"/>
      <c r="F43" s="141"/>
      <c r="G43" s="141"/>
      <c r="H43" s="141"/>
      <c r="I43" s="141"/>
      <c r="J43" s="141"/>
    </row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</sheetData>
  <mergeCells count="2">
    <mergeCell ref="B1:D1"/>
    <mergeCell ref="H1:K1"/>
  </mergeCells>
  <hyperlinks>
    <hyperlink ref="E1" location="'INÍCIO'!A1" display="⌂  Início"/>
    <hyperlink ref="F1" location="'DASHBOARD EXECUTIVO'!A1" display="▦  Dashboard"/>
    <hyperlink ref="G1" location="'OUTROS CONTROLES'!A1" display="▤  Outro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3"/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70"/>
    <col collapsed="false" customWidth="true" hidden="false" outlineLevel="0" max="5" min="4" style="0" width="14"/>
    <col collapsed="false" customWidth="true" hidden="false" outlineLevel="0" max="6" min="6" style="0" width="61"/>
    <col collapsed="false" customWidth="true" hidden="false" outlineLevel="0" max="12" min="7" style="0" width="3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34"/>
      <c r="B1" s="135" t="s">
        <v>904</v>
      </c>
      <c r="C1" s="135"/>
      <c r="D1" s="55" t="s">
        <v>64</v>
      </c>
      <c r="E1" s="55" t="s">
        <v>65</v>
      </c>
      <c r="F1" s="55" t="s">
        <v>69</v>
      </c>
      <c r="G1" s="136" t="str">
        <f aca="false">COUNTA($B$3:$B$16)&amp;" registros"</f>
        <v>9 registros</v>
      </c>
      <c r="H1" s="136"/>
      <c r="I1" s="136"/>
      <c r="J1" s="188"/>
      <c r="K1" s="188"/>
      <c r="L1" s="188"/>
      <c r="M1" s="172"/>
    </row>
    <row r="2" customFormat="false" ht="31.5" hidden="false" customHeight="true" outlineLevel="0" collapsed="false">
      <c r="A2" s="105" t="s">
        <v>905</v>
      </c>
      <c r="B2" s="105" t="s">
        <v>86</v>
      </c>
      <c r="C2" s="105" t="s">
        <v>87</v>
      </c>
      <c r="D2" s="105" t="s">
        <v>901</v>
      </c>
      <c r="E2" s="105" t="s">
        <v>88</v>
      </c>
      <c r="F2" s="105" t="s">
        <v>1621</v>
      </c>
      <c r="G2" s="137"/>
      <c r="H2" s="137"/>
      <c r="I2" s="137"/>
      <c r="J2" s="137"/>
      <c r="K2" s="137"/>
      <c r="L2" s="137"/>
      <c r="M2" s="137"/>
    </row>
    <row r="3" customFormat="false" ht="21" hidden="false" customHeight="true" outlineLevel="0" collapsed="false">
      <c r="A3" s="139" t="s">
        <v>1622</v>
      </c>
      <c r="B3" s="140" t="s">
        <v>1623</v>
      </c>
      <c r="C3" s="139" t="s">
        <v>1624</v>
      </c>
      <c r="D3" s="142" t="n">
        <v>45928</v>
      </c>
      <c r="E3" s="139" t="s">
        <v>108</v>
      </c>
      <c r="F3" s="139" t="s">
        <v>1625</v>
      </c>
      <c r="G3" s="143"/>
      <c r="H3" s="143"/>
      <c r="I3" s="143"/>
      <c r="J3" s="143"/>
      <c r="K3" s="143"/>
      <c r="L3" s="143"/>
      <c r="M3" s="143"/>
    </row>
    <row r="4" customFormat="false" ht="21" hidden="false" customHeight="true" outlineLevel="0" collapsed="false">
      <c r="A4" s="144" t="s">
        <v>1622</v>
      </c>
      <c r="B4" s="145" t="s">
        <v>1626</v>
      </c>
      <c r="C4" s="144" t="s">
        <v>1627</v>
      </c>
      <c r="D4" s="147" t="n">
        <v>45928</v>
      </c>
      <c r="E4" s="144" t="s">
        <v>108</v>
      </c>
      <c r="F4" s="144" t="s">
        <v>1628</v>
      </c>
      <c r="G4" s="148"/>
      <c r="H4" s="148"/>
      <c r="I4" s="148"/>
      <c r="J4" s="148"/>
      <c r="K4" s="148"/>
      <c r="L4" s="148"/>
      <c r="M4" s="148"/>
    </row>
    <row r="5" customFormat="false" ht="21" hidden="false" customHeight="true" outlineLevel="0" collapsed="false">
      <c r="A5" s="139" t="s">
        <v>1622</v>
      </c>
      <c r="B5" s="140" t="s">
        <v>1629</v>
      </c>
      <c r="C5" s="139" t="s">
        <v>1630</v>
      </c>
      <c r="D5" s="142" t="n">
        <v>45928</v>
      </c>
      <c r="E5" s="139" t="s">
        <v>108</v>
      </c>
      <c r="F5" s="139" t="s">
        <v>1631</v>
      </c>
      <c r="G5" s="143"/>
      <c r="H5" s="143"/>
      <c r="I5" s="143"/>
      <c r="J5" s="143"/>
      <c r="K5" s="143"/>
      <c r="L5" s="143"/>
      <c r="M5" s="143"/>
    </row>
    <row r="6" customFormat="false" ht="21" hidden="false" customHeight="true" outlineLevel="0" collapsed="false">
      <c r="A6" s="144" t="s">
        <v>1622</v>
      </c>
      <c r="B6" s="145" t="s">
        <v>1632</v>
      </c>
      <c r="C6" s="144" t="s">
        <v>1633</v>
      </c>
      <c r="D6" s="147" t="n">
        <v>45708</v>
      </c>
      <c r="E6" s="144" t="s">
        <v>108</v>
      </c>
      <c r="F6" s="144" t="s">
        <v>855</v>
      </c>
      <c r="G6" s="148"/>
      <c r="H6" s="148"/>
      <c r="I6" s="148"/>
      <c r="J6" s="148"/>
      <c r="K6" s="148"/>
      <c r="L6" s="148"/>
      <c r="M6" s="148"/>
    </row>
    <row r="7" customFormat="false" ht="21" hidden="false" customHeight="true" outlineLevel="0" collapsed="false">
      <c r="A7" s="139" t="s">
        <v>1622</v>
      </c>
      <c r="B7" s="140" t="s">
        <v>1634</v>
      </c>
      <c r="C7" s="139" t="s">
        <v>1635</v>
      </c>
      <c r="D7" s="142" t="n">
        <v>45070</v>
      </c>
      <c r="E7" s="139" t="s">
        <v>108</v>
      </c>
      <c r="F7" s="139" t="s">
        <v>855</v>
      </c>
      <c r="G7" s="143"/>
      <c r="H7" s="143"/>
      <c r="I7" s="143"/>
      <c r="J7" s="143"/>
      <c r="K7" s="143"/>
      <c r="L7" s="143"/>
      <c r="M7" s="143"/>
    </row>
    <row r="8" customFormat="false" ht="21" hidden="false" customHeight="true" outlineLevel="0" collapsed="false">
      <c r="A8" s="144" t="s">
        <v>1622</v>
      </c>
      <c r="B8" s="145" t="s">
        <v>1636</v>
      </c>
      <c r="C8" s="144" t="s">
        <v>1637</v>
      </c>
      <c r="D8" s="147" t="n">
        <v>44978</v>
      </c>
      <c r="E8" s="144" t="s">
        <v>108</v>
      </c>
      <c r="F8" s="144" t="s">
        <v>855</v>
      </c>
      <c r="G8" s="148"/>
      <c r="H8" s="148"/>
      <c r="I8" s="148"/>
      <c r="J8" s="148"/>
      <c r="K8" s="148"/>
      <c r="L8" s="148"/>
      <c r="M8" s="148"/>
    </row>
    <row r="9" customFormat="false" ht="21" hidden="false" customHeight="true" outlineLevel="0" collapsed="false">
      <c r="A9" s="139" t="s">
        <v>1622</v>
      </c>
      <c r="B9" s="140" t="s">
        <v>1638</v>
      </c>
      <c r="C9" s="139" t="s">
        <v>1639</v>
      </c>
      <c r="D9" s="142" t="n">
        <v>43291</v>
      </c>
      <c r="E9" s="139" t="s">
        <v>108</v>
      </c>
      <c r="F9" s="139" t="s">
        <v>1640</v>
      </c>
      <c r="G9" s="143"/>
      <c r="H9" s="143"/>
      <c r="I9" s="143"/>
      <c r="J9" s="143"/>
      <c r="K9" s="143"/>
      <c r="L9" s="143"/>
      <c r="M9" s="143"/>
    </row>
    <row r="10" customFormat="false" ht="21" hidden="false" customHeight="true" outlineLevel="0" collapsed="false">
      <c r="A10" s="144" t="s">
        <v>1622</v>
      </c>
      <c r="B10" s="145" t="s">
        <v>1641</v>
      </c>
      <c r="C10" s="144" t="s">
        <v>1642</v>
      </c>
      <c r="D10" s="147" t="n">
        <v>42995</v>
      </c>
      <c r="E10" s="144" t="s">
        <v>108</v>
      </c>
      <c r="F10" s="144" t="s">
        <v>1640</v>
      </c>
      <c r="G10" s="148"/>
      <c r="H10" s="148"/>
      <c r="I10" s="148"/>
      <c r="J10" s="148"/>
      <c r="K10" s="148"/>
      <c r="L10" s="148"/>
      <c r="M10" s="148"/>
    </row>
    <row r="11" customFormat="false" ht="21" hidden="false" customHeight="true" outlineLevel="0" collapsed="false">
      <c r="A11" s="139" t="s">
        <v>1622</v>
      </c>
      <c r="B11" s="140" t="s">
        <v>1643</v>
      </c>
      <c r="C11" s="139" t="s">
        <v>1644</v>
      </c>
      <c r="D11" s="142" t="n">
        <v>42956</v>
      </c>
      <c r="E11" s="139" t="s">
        <v>108</v>
      </c>
      <c r="F11" s="139" t="s">
        <v>1645</v>
      </c>
      <c r="G11" s="143"/>
      <c r="H11" s="143"/>
      <c r="I11" s="143"/>
      <c r="J11" s="143"/>
      <c r="K11" s="143"/>
      <c r="L11" s="143"/>
      <c r="M11" s="143"/>
    </row>
    <row r="12" customFormat="false" ht="21" hidden="false" customHeight="true" outlineLevel="0" collapsed="false">
      <c r="A12" s="146"/>
      <c r="B12" s="165"/>
      <c r="C12" s="146"/>
      <c r="D12" s="149"/>
      <c r="E12" s="146"/>
      <c r="F12" s="146"/>
    </row>
    <row r="13" customFormat="false" ht="21" hidden="false" customHeight="true" outlineLevel="0" collapsed="false">
      <c r="A13" s="141"/>
      <c r="B13" s="150"/>
      <c r="C13" s="141"/>
      <c r="D13" s="151"/>
      <c r="E13" s="141"/>
      <c r="F13" s="141"/>
    </row>
    <row r="14" customFormat="false" ht="21" hidden="false" customHeight="true" outlineLevel="0" collapsed="false">
      <c r="A14" s="146"/>
      <c r="B14" s="165"/>
      <c r="C14" s="146"/>
      <c r="D14" s="149"/>
      <c r="E14" s="146"/>
      <c r="F14" s="146"/>
    </row>
    <row r="15" customFormat="false" ht="21" hidden="false" customHeight="true" outlineLevel="0" collapsed="false">
      <c r="A15" s="141"/>
      <c r="B15" s="150"/>
      <c r="C15" s="141"/>
      <c r="D15" s="141"/>
      <c r="E15" s="141"/>
      <c r="F15" s="141"/>
    </row>
    <row r="16" customFormat="false" ht="21" hidden="false" customHeight="true" outlineLevel="0" collapsed="false">
      <c r="A16" s="146"/>
      <c r="B16" s="165"/>
      <c r="C16" s="146"/>
      <c r="D16" s="146"/>
      <c r="E16" s="146"/>
      <c r="F16" s="146"/>
      <c r="G16" s="133"/>
      <c r="H16" s="133"/>
    </row>
  </sheetData>
  <mergeCells count="2">
    <mergeCell ref="B1:C1"/>
    <mergeCell ref="G1:I1"/>
  </mergeCells>
  <hyperlinks>
    <hyperlink ref="D1" location="'INÍCIO'!A1" display="⌂  Início"/>
    <hyperlink ref="E1" location="'DASHBOARD EXECUTIVO'!A1" display="▦  Dashboard"/>
    <hyperlink ref="F1" location="'OUTROS CONTROLES'!A1" display="▤  Outro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3"/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9.2890625" defaultRowHeight="15" zeroHeight="false" outlineLevelRow="0" outlineLevelCol="0"/>
  <cols>
    <col collapsed="false" customWidth="true" hidden="false" outlineLevel="0" max="1" min="1" style="166" width="66"/>
    <col collapsed="false" customWidth="true" hidden="false" outlineLevel="0" max="2" min="2" style="166" width="29"/>
    <col collapsed="false" customWidth="true" hidden="false" outlineLevel="0" max="3" min="3" style="166" width="42"/>
    <col collapsed="false" customWidth="true" hidden="false" outlineLevel="0" max="4" min="4" style="166" width="21"/>
    <col collapsed="false" customWidth="true" hidden="false" outlineLevel="0" max="5" min="5" style="166" width="14"/>
    <col collapsed="false" customWidth="true" hidden="false" outlineLevel="0" max="6" min="6" style="166" width="46"/>
    <col collapsed="false" customWidth="true" hidden="false" outlineLevel="0" max="7" min="7" style="166" width="14"/>
    <col collapsed="false" customWidth="true" hidden="false" outlineLevel="0" max="8" min="8" style="166" width="70"/>
    <col collapsed="false" customWidth="true" hidden="false" outlineLevel="0" max="9" min="9" style="166" width="25"/>
    <col collapsed="false" customWidth="true" hidden="false" outlineLevel="0" max="10" min="10" style="166" width="37"/>
    <col collapsed="false" customWidth="true" hidden="false" outlineLevel="0" max="11" min="11" style="166" width="23"/>
    <col collapsed="false" customWidth="true" hidden="false" outlineLevel="0" max="12" min="12" style="166" width="12"/>
    <col collapsed="false" customWidth="true" hidden="false" outlineLevel="0" max="13" min="13" style="0" width="15"/>
    <col collapsed="false" customWidth="false" hidden="false" outlineLevel="0" max="16384" min="14" style="166" width="9.29"/>
  </cols>
  <sheetData>
    <row r="1" s="193" customFormat="true" ht="39.75" hidden="false" customHeight="true" outlineLevel="0" collapsed="false">
      <c r="A1" s="192"/>
      <c r="B1" s="135" t="s">
        <v>1646</v>
      </c>
      <c r="C1" s="135"/>
      <c r="D1" s="55" t="s">
        <v>64</v>
      </c>
      <c r="E1" s="55" t="s">
        <v>65</v>
      </c>
      <c r="F1" s="55" t="s">
        <v>69</v>
      </c>
      <c r="G1" s="136" t="str">
        <f aca="false">COUNTA($B$3:$B$20)&amp;" registros"</f>
        <v>5 registros</v>
      </c>
      <c r="H1" s="136"/>
      <c r="I1" s="136"/>
      <c r="J1" s="136"/>
      <c r="K1" s="136"/>
      <c r="L1" s="136"/>
      <c r="M1" s="136"/>
    </row>
    <row r="2" s="190" customFormat="true" ht="31.5" hidden="false" customHeight="true" outlineLevel="0" collapsed="false">
      <c r="A2" s="105" t="s">
        <v>1647</v>
      </c>
      <c r="B2" s="105" t="s">
        <v>1069</v>
      </c>
      <c r="C2" s="105" t="s">
        <v>132</v>
      </c>
      <c r="D2" s="105" t="s">
        <v>1648</v>
      </c>
      <c r="E2" s="105" t="s">
        <v>1649</v>
      </c>
      <c r="F2" s="105" t="s">
        <v>142</v>
      </c>
      <c r="G2" s="105" t="s">
        <v>134</v>
      </c>
      <c r="H2" s="105" t="s">
        <v>1650</v>
      </c>
      <c r="I2" s="105" t="s">
        <v>88</v>
      </c>
      <c r="J2" s="105" t="s">
        <v>1223</v>
      </c>
      <c r="K2" s="105" t="s">
        <v>947</v>
      </c>
      <c r="L2" s="105" t="s">
        <v>1651</v>
      </c>
      <c r="M2" s="137"/>
    </row>
    <row r="3" customFormat="false" ht="21" hidden="false" customHeight="true" outlineLevel="0" collapsed="false">
      <c r="A3" s="139" t="s">
        <v>1652</v>
      </c>
      <c r="B3" s="153" t="str">
        <f aca="false">MID(A3,FIND("MO ",A3),13)</f>
        <v>MO 5010-00091</v>
      </c>
      <c r="C3" s="153" t="str">
        <f aca="false">IFERROR(MID(A3,FIND(".0",A3)-1,3),"0")</f>
        <v>2.0</v>
      </c>
      <c r="D3" s="153" t="s">
        <v>1653</v>
      </c>
      <c r="E3" s="151" t="s">
        <v>1654</v>
      </c>
      <c r="F3" s="139" t="s">
        <v>1655</v>
      </c>
      <c r="G3" s="142" t="n">
        <v>44872</v>
      </c>
      <c r="H3" s="194" t="str">
        <f aca="false">IF((((Tabela11[[#This Row],[Validade]]-(TODAY()))/30))&lt;0," ",((Tabela11[[#This Row],[Validade]]-(TODAY()))/30))</f>
        <v> </v>
      </c>
      <c r="I3" s="139" t="s">
        <v>1656</v>
      </c>
      <c r="J3" s="139" t="s">
        <v>1657</v>
      </c>
      <c r="K3" s="139" t="s">
        <v>1658</v>
      </c>
      <c r="L3" s="141"/>
      <c r="M3" s="143"/>
    </row>
    <row r="4" customFormat="false" ht="21" hidden="false" customHeight="true" outlineLevel="0" collapsed="false">
      <c r="A4" s="144" t="s">
        <v>1659</v>
      </c>
      <c r="B4" s="162" t="str">
        <f aca="false">MID(A4,FIND("MO ",A4),13)</f>
        <v>MO 5010-00100</v>
      </c>
      <c r="C4" s="162" t="str">
        <f aca="false">IFERROR(MID(A4,FIND(".0",A4)-1,3),"0")</f>
        <v>1.0</v>
      </c>
      <c r="D4" s="162" t="s">
        <v>1653</v>
      </c>
      <c r="E4" s="149" t="s">
        <v>1660</v>
      </c>
      <c r="F4" s="144" t="s">
        <v>1661</v>
      </c>
      <c r="G4" s="147" t="n">
        <v>46266</v>
      </c>
      <c r="H4" s="195" t="str">
        <f aca="false">IF((((Tabela11[[#This Row],[Validade]]-(TODAY()))/30))&lt;0," ",((Tabela11[[#This Row],[Validade]]-(TODAY()))/30))</f>
        <v> </v>
      </c>
      <c r="I4" s="144" t="s">
        <v>1662</v>
      </c>
      <c r="J4" s="144" t="s">
        <v>1663</v>
      </c>
      <c r="K4" s="144" t="s">
        <v>1664</v>
      </c>
      <c r="L4" s="146"/>
      <c r="M4" s="148"/>
    </row>
    <row r="5" customFormat="false" ht="21" hidden="false" customHeight="true" outlineLevel="0" collapsed="false">
      <c r="A5" s="139" t="s">
        <v>1665</v>
      </c>
      <c r="B5" s="153" t="str">
        <f aca="false">MID(A5,FIND("MO ",A5),13)</f>
        <v>MO 5010-00101</v>
      </c>
      <c r="C5" s="153" t="str">
        <f aca="false">IFERROR(MID(A5,FIND(".0",A5)-1,3),"0")</f>
        <v>2.0</v>
      </c>
      <c r="D5" s="153" t="s">
        <v>1653</v>
      </c>
      <c r="E5" s="151" t="s">
        <v>1660</v>
      </c>
      <c r="F5" s="139" t="s">
        <v>1661</v>
      </c>
      <c r="G5" s="142" t="n">
        <v>46266</v>
      </c>
      <c r="H5" s="194" t="str">
        <f aca="false">IF((((Tabela11[[#This Row],[Validade]]-(TODAY()))/30))&lt;0," ",((Tabela11[[#This Row],[Validade]]-(TODAY()))/30))</f>
        <v> </v>
      </c>
      <c r="I5" s="139" t="s">
        <v>1666</v>
      </c>
      <c r="J5" s="139" t="s">
        <v>1663</v>
      </c>
      <c r="K5" s="139" t="s">
        <v>1664</v>
      </c>
      <c r="L5" s="141"/>
      <c r="M5" s="143"/>
    </row>
    <row r="6" customFormat="false" ht="21" hidden="false" customHeight="true" outlineLevel="0" collapsed="false">
      <c r="A6" s="144" t="s">
        <v>1667</v>
      </c>
      <c r="B6" s="162" t="str">
        <f aca="false">MID(A6,FIND("MO ",A6),13)</f>
        <v>MO 5010-00102</v>
      </c>
      <c r="C6" s="162" t="str">
        <f aca="false">IFERROR(MID(A6,FIND(".0",A6)-1,3),"0")</f>
        <v>2.0</v>
      </c>
      <c r="D6" s="162" t="s">
        <v>1653</v>
      </c>
      <c r="E6" s="149" t="s">
        <v>1654</v>
      </c>
      <c r="F6" s="144" t="s">
        <v>1655</v>
      </c>
      <c r="G6" s="147" t="n">
        <v>44636</v>
      </c>
      <c r="H6" s="195" t="str">
        <f aca="false">IF((((Tabela11[[#This Row],[Validade]]-(TODAY()))/30))&lt;0," ",((Tabela11[[#This Row],[Validade]]-(TODAY()))/30))</f>
        <v> </v>
      </c>
      <c r="I6" s="144" t="s">
        <v>1668</v>
      </c>
      <c r="J6" s="144" t="s">
        <v>1669</v>
      </c>
      <c r="K6" s="144" t="s">
        <v>1658</v>
      </c>
      <c r="L6" s="146"/>
      <c r="M6" s="148"/>
    </row>
    <row r="7" customFormat="false" ht="21" hidden="false" customHeight="true" outlineLevel="0" collapsed="false">
      <c r="A7" s="139" t="s">
        <v>1670</v>
      </c>
      <c r="B7" s="153" t="str">
        <f aca="false">MID(A7,FIND("MO ",A7),13)</f>
        <v>MO 5010-00137</v>
      </c>
      <c r="C7" s="153" t="str">
        <f aca="false">IFERROR(MID(A7,FIND(".0",A7)-1,3),"0")</f>
        <v>3.0</v>
      </c>
      <c r="D7" s="153" t="s">
        <v>1653</v>
      </c>
      <c r="E7" s="151" t="s">
        <v>1660</v>
      </c>
      <c r="F7" s="139" t="s">
        <v>1661</v>
      </c>
      <c r="G7" s="142" t="n">
        <v>46266</v>
      </c>
      <c r="H7" s="194" t="str">
        <f aca="false">IF((((Tabela11[[#This Row],[Validade]]-(TODAY()))/30))&lt;0," ",((Tabela11[[#This Row],[Validade]]-(TODAY()))/30))</f>
        <v> </v>
      </c>
      <c r="I7" s="139" t="s">
        <v>1671</v>
      </c>
      <c r="J7" s="139" t="s">
        <v>1663</v>
      </c>
      <c r="K7" s="139" t="s">
        <v>1664</v>
      </c>
      <c r="L7" s="141"/>
      <c r="M7" s="143"/>
    </row>
    <row r="8" customFormat="false" ht="21" hidden="false" customHeight="true" outlineLevel="0" collapsed="false">
      <c r="A8" s="146"/>
      <c r="B8" s="149"/>
      <c r="C8" s="149"/>
      <c r="D8" s="149"/>
      <c r="E8" s="149"/>
      <c r="F8" s="146"/>
      <c r="G8" s="149"/>
      <c r="H8" s="195" t="str">
        <f aca="false">IF((((Tabela11[[#This Row],[Validade]]-(TODAY()))/30))&lt;0," ",((Tabela11[[#This Row],[Validade]]-(TODAY()))/30))</f>
        <v> </v>
      </c>
      <c r="I8" s="146"/>
      <c r="J8" s="146"/>
      <c r="K8" s="146"/>
      <c r="L8" s="146"/>
      <c r="M8" s="148"/>
    </row>
    <row r="9" customFormat="false" ht="21" hidden="false" customHeight="true" outlineLevel="0" collapsed="false">
      <c r="A9" s="141"/>
      <c r="B9" s="151"/>
      <c r="C9" s="151"/>
      <c r="D9" s="151"/>
      <c r="E9" s="151"/>
      <c r="F9" s="141"/>
      <c r="G9" s="151"/>
      <c r="H9" s="194" t="str">
        <f aca="false">IF((((Tabela11[[#This Row],[Validade]]-(TODAY()))/30))&lt;0," ",((Tabela11[[#This Row],[Validade]]-(TODAY()))/30))</f>
        <v> </v>
      </c>
      <c r="I9" s="141"/>
      <c r="J9" s="141"/>
      <c r="K9" s="141"/>
      <c r="L9" s="141"/>
      <c r="M9" s="143"/>
    </row>
    <row r="10" customFormat="false" ht="21" hidden="false" customHeight="true" outlineLevel="0" collapsed="false">
      <c r="A10" s="146"/>
      <c r="B10" s="149"/>
      <c r="C10" s="149"/>
      <c r="D10" s="149"/>
      <c r="E10" s="149"/>
      <c r="F10" s="146"/>
      <c r="G10" s="149"/>
      <c r="H10" s="195" t="str">
        <f aca="false">IF((((Tabela11[[#This Row],[Validade]]-(TODAY()))/30))&lt;0," ",((Tabela11[[#This Row],[Validade]]-(TODAY()))/30))</f>
        <v> </v>
      </c>
      <c r="I10" s="146"/>
      <c r="J10" s="146"/>
      <c r="K10" s="146"/>
      <c r="L10" s="146"/>
      <c r="M10" s="148"/>
    </row>
    <row r="11" customFormat="false" ht="21" hidden="false" customHeight="true" outlineLevel="0" collapsed="false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</row>
    <row r="12" customFormat="false" ht="21" hidden="false" customHeight="true" outlineLevel="0" collapsed="false">
      <c r="A12" s="146"/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</row>
    <row r="13" customFormat="false" ht="21" hidden="false" customHeight="true" outlineLevel="0" collapsed="false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</row>
    <row r="14" customFormat="false" ht="21" hidden="false" customHeight="true" outlineLevel="0" collapsed="false">
      <c r="A14" s="146"/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</row>
    <row r="15" customFormat="false" ht="21" hidden="false" customHeight="true" outlineLevel="0" collapsed="false">
      <c r="A15" s="141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</row>
    <row r="16" customFormat="false" ht="21" hidden="false" customHeight="true" outlineLevel="0" collapsed="false">
      <c r="A16" s="146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</row>
    <row r="17" customFormat="false" ht="21" hidden="false" customHeight="true" outlineLevel="0" collapsed="false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</row>
    <row r="18" customFormat="false" ht="21" hidden="false" customHeight="true" outlineLevel="0" collapsed="false">
      <c r="A18" s="146"/>
      <c r="B18" s="146"/>
      <c r="C18" s="146"/>
      <c r="D18" s="146"/>
      <c r="E18" s="146"/>
      <c r="F18" s="146"/>
      <c r="G18" s="146"/>
      <c r="H18" s="146"/>
      <c r="I18" s="146"/>
      <c r="J18" s="146"/>
      <c r="K18" s="146"/>
      <c r="L18" s="146"/>
    </row>
    <row r="19" customFormat="false" ht="21" hidden="false" customHeight="true" outlineLevel="0" collapsed="false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</row>
    <row r="20" customFormat="false" ht="21" hidden="false" customHeight="true" outlineLevel="0" collapsed="false">
      <c r="A20" s="146"/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</row>
  </sheetData>
  <mergeCells count="2">
    <mergeCell ref="B1:C1"/>
    <mergeCell ref="G1:M1"/>
  </mergeCells>
  <conditionalFormatting sqref="H8">
    <cfRule type="cellIs" priority="2" operator="lessThan" aboveAverage="0" equalAverage="0" bottom="0" percent="0" rank="0" text="" dxfId="34">
      <formula>3</formula>
    </cfRule>
    <cfRule type="cellIs" priority="3" operator="lessThan" aboveAverage="0" equalAverage="0" bottom="0" percent="0" rank="0" text="" dxfId="35">
      <formula>12</formula>
    </cfRule>
  </conditionalFormatting>
  <conditionalFormatting sqref="H3:H7 H9:H10">
    <cfRule type="cellIs" priority="4" operator="lessThan" aboveAverage="0" equalAverage="0" bottom="0" percent="0" rank="0" text="" dxfId="36">
      <formula>0.1</formula>
    </cfRule>
    <cfRule type="cellIs" priority="5" operator="lessThan" aboveAverage="0" equalAverage="0" bottom="0" percent="0" rank="0" text="" dxfId="34">
      <formula>3</formula>
    </cfRule>
    <cfRule type="cellIs" priority="6" operator="lessThan" aboveAverage="0" equalAverage="0" bottom="0" percent="0" rank="0" text="" dxfId="35">
      <formula>12</formula>
    </cfRule>
  </conditionalFormatting>
  <hyperlinks>
    <hyperlink ref="D1" location="'INÍCIO'!A1" display="⌂  Início"/>
    <hyperlink ref="E1" location="'DASHBOARD EXECUTIVO'!A1" display="▦  Dashboard"/>
    <hyperlink ref="F1" location="'OUTROS CONTROLES'!A1" display="▤  Outros"/>
    <hyperlink ref="A3" r:id="rId2" display="2.0 - MO 5010-00091 - SISTEMA DE ÁGUA DE RESFRIAMENTO UNIB3 ABC"/>
    <hyperlink ref="A4" r:id="rId3" display="1.0 - MO 5010-00100-PT - SISTEMA DE EFLUENTES LÍQUIDOS - SEL I"/>
    <hyperlink ref="A5" r:id="rId4" display="2.0 - MO 5010-00101 - OPERAÇÃO DE CALDEIRAS"/>
    <hyperlink ref="A6" r:id="rId5" display="2.0 - MO 5010-00102 - SISTEMA ELETRICO UNIB 3 C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  <legacyDrawing r:id="rId7"/>
  <tableParts>
    <tablePart r:id="rId8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CBD3"/>
    <pageSetUpPr fitToPage="false"/>
  </sheetPr>
  <dimension ref="A1:M1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133" width="23"/>
    <col collapsed="false" customWidth="true" hidden="false" outlineLevel="0" max="3" min="3" style="133" width="10"/>
    <col collapsed="false" customWidth="true" hidden="false" outlineLevel="0" max="4" min="4" style="133" width="16"/>
    <col collapsed="false" customWidth="true" hidden="false" outlineLevel="0" max="5" min="5" style="0" width="70"/>
    <col collapsed="false" customWidth="true" hidden="false" outlineLevel="0" max="6" min="6" style="133" width="16"/>
    <col collapsed="false" customWidth="true" hidden="false" outlineLevel="0" max="7" min="7" style="133" width="14"/>
    <col collapsed="false" customWidth="true" hidden="false" outlineLevel="0" max="8" min="8" style="133" width="10"/>
    <col collapsed="false" customWidth="true" hidden="false" outlineLevel="0" max="9" min="9" style="0" width="12.9"/>
    <col collapsed="false" customWidth="true" hidden="false" outlineLevel="0" max="10" min="10" style="0" width="37"/>
    <col collapsed="false" customWidth="true" hidden="false" outlineLevel="0" max="11" min="11" style="0" width="70"/>
    <col collapsed="false" customWidth="true" hidden="false" outlineLevel="0" max="12" min="12" style="0" width="12.9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34"/>
      <c r="B1" s="196" t="s">
        <v>904</v>
      </c>
      <c r="C1" s="196"/>
      <c r="D1" s="196"/>
      <c r="E1" s="55" t="s">
        <v>64</v>
      </c>
      <c r="F1" s="55" t="s">
        <v>65</v>
      </c>
      <c r="G1" s="197" t="str">
        <f aca="false">"HISTÓRICO — versão anterior, não usada nos KPIs  ·  "&amp;COUNTA($B$3:$B$139)&amp;" registros"</f>
        <v>HISTÓRICO — versão anterior, não usada nos KPIs  ·  136 registros</v>
      </c>
      <c r="H1" s="197"/>
      <c r="I1" s="197"/>
      <c r="J1" s="197"/>
      <c r="K1" s="197"/>
      <c r="L1" s="197"/>
      <c r="M1" s="197"/>
    </row>
    <row r="2" s="138" customFormat="true" ht="31.5" hidden="false" customHeight="true" outlineLevel="0" collapsed="false">
      <c r="A2" s="198" t="s">
        <v>905</v>
      </c>
      <c r="B2" s="198" t="s">
        <v>906</v>
      </c>
      <c r="C2" s="198" t="s">
        <v>132</v>
      </c>
      <c r="D2" s="198" t="s">
        <v>140</v>
      </c>
      <c r="E2" s="198" t="s">
        <v>87</v>
      </c>
      <c r="F2" s="198" t="s">
        <v>907</v>
      </c>
      <c r="G2" s="198" t="s">
        <v>134</v>
      </c>
      <c r="H2" s="198" t="s">
        <v>88</v>
      </c>
      <c r="I2" s="198" t="s">
        <v>142</v>
      </c>
      <c r="J2" s="198" t="s">
        <v>908</v>
      </c>
      <c r="K2" s="198" t="s">
        <v>143</v>
      </c>
      <c r="L2" s="198" t="s">
        <v>144</v>
      </c>
      <c r="M2" s="137"/>
    </row>
    <row r="3" customFormat="false" ht="21" hidden="false" customHeight="true" outlineLevel="0" collapsed="false">
      <c r="A3" s="139" t="s">
        <v>909</v>
      </c>
      <c r="B3" s="140" t="s">
        <v>158</v>
      </c>
      <c r="C3" s="141" t="s">
        <v>176</v>
      </c>
      <c r="D3" s="139" t="s">
        <v>160</v>
      </c>
      <c r="E3" s="139" t="s">
        <v>161</v>
      </c>
      <c r="F3" s="139" t="s">
        <v>162</v>
      </c>
      <c r="G3" s="142" t="n">
        <v>45648</v>
      </c>
      <c r="H3" s="141" t="s">
        <v>36</v>
      </c>
      <c r="I3" s="141"/>
      <c r="J3" s="139" t="s">
        <v>163</v>
      </c>
      <c r="K3" s="139" t="s">
        <v>164</v>
      </c>
      <c r="L3" s="141"/>
      <c r="M3" s="143"/>
    </row>
    <row r="4" customFormat="false" ht="21" hidden="false" customHeight="true" outlineLevel="0" collapsed="false">
      <c r="A4" s="144" t="s">
        <v>909</v>
      </c>
      <c r="B4" s="145" t="s">
        <v>166</v>
      </c>
      <c r="C4" s="146" t="s">
        <v>176</v>
      </c>
      <c r="D4" s="144" t="s">
        <v>167</v>
      </c>
      <c r="E4" s="144" t="s">
        <v>168</v>
      </c>
      <c r="F4" s="144" t="s">
        <v>162</v>
      </c>
      <c r="G4" s="147" t="n">
        <v>46088</v>
      </c>
      <c r="H4" s="146" t="s">
        <v>36</v>
      </c>
      <c r="I4" s="146"/>
      <c r="J4" s="144" t="s">
        <v>163</v>
      </c>
      <c r="K4" s="146"/>
      <c r="L4" s="146"/>
      <c r="M4" s="148"/>
    </row>
    <row r="5" customFormat="false" ht="21" hidden="false" customHeight="true" outlineLevel="0" collapsed="false">
      <c r="A5" s="139" t="s">
        <v>909</v>
      </c>
      <c r="B5" s="140" t="s">
        <v>171</v>
      </c>
      <c r="C5" s="141" t="s">
        <v>176</v>
      </c>
      <c r="D5" s="139" t="s">
        <v>172</v>
      </c>
      <c r="E5" s="139" t="s">
        <v>173</v>
      </c>
      <c r="F5" s="139" t="s">
        <v>162</v>
      </c>
      <c r="G5" s="142" t="n">
        <v>45709</v>
      </c>
      <c r="H5" s="141" t="s">
        <v>36</v>
      </c>
      <c r="I5" s="141"/>
      <c r="J5" s="139" t="s">
        <v>163</v>
      </c>
      <c r="K5" s="141"/>
      <c r="L5" s="141"/>
      <c r="M5" s="143"/>
    </row>
    <row r="6" customFormat="false" ht="21" hidden="false" customHeight="true" outlineLevel="0" collapsed="false">
      <c r="A6" s="144" t="s">
        <v>909</v>
      </c>
      <c r="B6" s="145" t="s">
        <v>175</v>
      </c>
      <c r="C6" s="146" t="s">
        <v>250</v>
      </c>
      <c r="D6" s="144" t="s">
        <v>177</v>
      </c>
      <c r="E6" s="144" t="s">
        <v>178</v>
      </c>
      <c r="F6" s="144" t="s">
        <v>162</v>
      </c>
      <c r="G6" s="147" t="n">
        <v>45734</v>
      </c>
      <c r="H6" s="146" t="s">
        <v>36</v>
      </c>
      <c r="I6" s="146"/>
      <c r="J6" s="144" t="s">
        <v>163</v>
      </c>
      <c r="K6" s="144" t="s">
        <v>179</v>
      </c>
      <c r="L6" s="146"/>
      <c r="M6" s="148"/>
    </row>
    <row r="7" customFormat="false" ht="21" hidden="false" customHeight="true" outlineLevel="0" collapsed="false">
      <c r="A7" s="139" t="s">
        <v>909</v>
      </c>
      <c r="B7" s="140" t="s">
        <v>181</v>
      </c>
      <c r="C7" s="141" t="s">
        <v>250</v>
      </c>
      <c r="D7" s="139" t="s">
        <v>182</v>
      </c>
      <c r="E7" s="139" t="s">
        <v>183</v>
      </c>
      <c r="F7" s="139" t="s">
        <v>162</v>
      </c>
      <c r="G7" s="142" t="n">
        <v>45648</v>
      </c>
      <c r="H7" s="141" t="s">
        <v>36</v>
      </c>
      <c r="I7" s="141"/>
      <c r="J7" s="139" t="s">
        <v>163</v>
      </c>
      <c r="K7" s="141"/>
      <c r="L7" s="141"/>
      <c r="M7" s="143"/>
    </row>
    <row r="8" customFormat="false" ht="21" hidden="false" customHeight="true" outlineLevel="0" collapsed="false">
      <c r="A8" s="144" t="s">
        <v>909</v>
      </c>
      <c r="B8" s="145" t="s">
        <v>697</v>
      </c>
      <c r="C8" s="146" t="s">
        <v>250</v>
      </c>
      <c r="D8" s="144" t="s">
        <v>698</v>
      </c>
      <c r="E8" s="144" t="s">
        <v>699</v>
      </c>
      <c r="F8" s="144" t="s">
        <v>162</v>
      </c>
      <c r="G8" s="147" t="n">
        <v>45648</v>
      </c>
      <c r="H8" s="144" t="s">
        <v>108</v>
      </c>
      <c r="I8" s="146"/>
      <c r="J8" s="144" t="s">
        <v>163</v>
      </c>
      <c r="K8" s="146"/>
      <c r="L8" s="146"/>
      <c r="M8" s="148"/>
    </row>
    <row r="9" customFormat="false" ht="21" hidden="false" customHeight="true" outlineLevel="0" collapsed="false">
      <c r="A9" s="139" t="s">
        <v>909</v>
      </c>
      <c r="B9" s="140" t="s">
        <v>185</v>
      </c>
      <c r="C9" s="141" t="s">
        <v>250</v>
      </c>
      <c r="D9" s="139" t="s">
        <v>186</v>
      </c>
      <c r="E9" s="139" t="s">
        <v>187</v>
      </c>
      <c r="F9" s="139" t="s">
        <v>162</v>
      </c>
      <c r="G9" s="142" t="n">
        <v>45648</v>
      </c>
      <c r="H9" s="141" t="s">
        <v>36</v>
      </c>
      <c r="I9" s="141"/>
      <c r="J9" s="139" t="s">
        <v>163</v>
      </c>
      <c r="K9" s="139" t="s">
        <v>188</v>
      </c>
      <c r="L9" s="141"/>
      <c r="M9" s="143"/>
    </row>
    <row r="10" customFormat="false" ht="21" hidden="false" customHeight="true" outlineLevel="0" collapsed="false">
      <c r="A10" s="144" t="s">
        <v>909</v>
      </c>
      <c r="B10" s="145" t="s">
        <v>453</v>
      </c>
      <c r="C10" s="146" t="s">
        <v>250</v>
      </c>
      <c r="D10" s="144" t="s">
        <v>454</v>
      </c>
      <c r="E10" s="144" t="s">
        <v>455</v>
      </c>
      <c r="F10" s="144" t="s">
        <v>162</v>
      </c>
      <c r="G10" s="147" t="n">
        <v>45720</v>
      </c>
      <c r="H10" s="146" t="s">
        <v>36</v>
      </c>
      <c r="I10" s="146"/>
      <c r="J10" s="144" t="s">
        <v>163</v>
      </c>
      <c r="K10" s="146"/>
      <c r="L10" s="146"/>
      <c r="M10" s="148"/>
    </row>
    <row r="11" customFormat="false" ht="21" hidden="false" customHeight="true" outlineLevel="0" collapsed="false">
      <c r="A11" s="139" t="s">
        <v>909</v>
      </c>
      <c r="B11" s="140" t="s">
        <v>190</v>
      </c>
      <c r="C11" s="141" t="s">
        <v>159</v>
      </c>
      <c r="D11" s="139" t="s">
        <v>192</v>
      </c>
      <c r="E11" s="139" t="s">
        <v>193</v>
      </c>
      <c r="F11" s="139" t="s">
        <v>162</v>
      </c>
      <c r="G11" s="142" t="n">
        <v>45703</v>
      </c>
      <c r="H11" s="141" t="s">
        <v>36</v>
      </c>
      <c r="I11" s="141"/>
      <c r="J11" s="139" t="s">
        <v>163</v>
      </c>
      <c r="K11" s="141"/>
      <c r="L11" s="141"/>
      <c r="M11" s="143"/>
    </row>
    <row r="12" customFormat="false" ht="21" hidden="false" customHeight="true" outlineLevel="0" collapsed="false">
      <c r="A12" s="144" t="s">
        <v>909</v>
      </c>
      <c r="B12" s="145" t="s">
        <v>195</v>
      </c>
      <c r="C12" s="146" t="s">
        <v>250</v>
      </c>
      <c r="D12" s="144" t="s">
        <v>196</v>
      </c>
      <c r="E12" s="144" t="s">
        <v>197</v>
      </c>
      <c r="F12" s="144" t="s">
        <v>162</v>
      </c>
      <c r="G12" s="147" t="n">
        <v>45585</v>
      </c>
      <c r="H12" s="146" t="s">
        <v>36</v>
      </c>
      <c r="I12" s="146"/>
      <c r="J12" s="144" t="s">
        <v>163</v>
      </c>
      <c r="K12" s="146"/>
      <c r="L12" s="146"/>
      <c r="M12" s="148"/>
    </row>
    <row r="13" customFormat="false" ht="21" hidden="false" customHeight="true" outlineLevel="0" collapsed="false">
      <c r="A13" s="139" t="s">
        <v>909</v>
      </c>
      <c r="B13" s="140" t="s">
        <v>199</v>
      </c>
      <c r="C13" s="141" t="s">
        <v>250</v>
      </c>
      <c r="D13" s="139" t="s">
        <v>200</v>
      </c>
      <c r="E13" s="139" t="s">
        <v>201</v>
      </c>
      <c r="F13" s="139" t="s">
        <v>162</v>
      </c>
      <c r="G13" s="142" t="n">
        <v>45585</v>
      </c>
      <c r="H13" s="141" t="s">
        <v>36</v>
      </c>
      <c r="I13" s="141"/>
      <c r="J13" s="139" t="s">
        <v>163</v>
      </c>
      <c r="K13" s="141"/>
      <c r="L13" s="141"/>
      <c r="M13" s="143"/>
    </row>
    <row r="14" customFormat="false" ht="21" hidden="false" customHeight="true" outlineLevel="0" collapsed="false">
      <c r="A14" s="144" t="s">
        <v>909</v>
      </c>
      <c r="B14" s="145" t="s">
        <v>203</v>
      </c>
      <c r="C14" s="146" t="s">
        <v>250</v>
      </c>
      <c r="D14" s="144" t="s">
        <v>204</v>
      </c>
      <c r="E14" s="144" t="s">
        <v>205</v>
      </c>
      <c r="F14" s="144" t="s">
        <v>162</v>
      </c>
      <c r="G14" s="147" t="n">
        <v>45709</v>
      </c>
      <c r="H14" s="146" t="s">
        <v>36</v>
      </c>
      <c r="I14" s="146"/>
      <c r="J14" s="144" t="s">
        <v>163</v>
      </c>
      <c r="K14" s="144" t="s">
        <v>206</v>
      </c>
      <c r="L14" s="146"/>
      <c r="M14" s="148"/>
    </row>
    <row r="15" customFormat="false" ht="21" hidden="false" customHeight="true" outlineLevel="0" collapsed="false">
      <c r="A15" s="139" t="s">
        <v>909</v>
      </c>
      <c r="B15" s="140" t="s">
        <v>208</v>
      </c>
      <c r="C15" s="141" t="s">
        <v>250</v>
      </c>
      <c r="D15" s="139" t="s">
        <v>209</v>
      </c>
      <c r="E15" s="139" t="s">
        <v>210</v>
      </c>
      <c r="F15" s="139" t="s">
        <v>162</v>
      </c>
      <c r="G15" s="142" t="n">
        <v>45648</v>
      </c>
      <c r="H15" s="141" t="s">
        <v>36</v>
      </c>
      <c r="I15" s="141"/>
      <c r="J15" s="139" t="s">
        <v>163</v>
      </c>
      <c r="K15" s="139" t="s">
        <v>211</v>
      </c>
      <c r="L15" s="141"/>
      <c r="M15" s="143"/>
    </row>
    <row r="16" customFormat="false" ht="21" hidden="false" customHeight="true" outlineLevel="0" collapsed="false">
      <c r="A16" s="144" t="s">
        <v>909</v>
      </c>
      <c r="B16" s="145" t="s">
        <v>702</v>
      </c>
      <c r="C16" s="146" t="s">
        <v>250</v>
      </c>
      <c r="D16" s="144" t="s">
        <v>703</v>
      </c>
      <c r="E16" s="144" t="s">
        <v>704</v>
      </c>
      <c r="F16" s="144" t="s">
        <v>162</v>
      </c>
      <c r="G16" s="147" t="n">
        <v>46130</v>
      </c>
      <c r="H16" s="144" t="s">
        <v>108</v>
      </c>
      <c r="I16" s="146"/>
      <c r="J16" s="144" t="s">
        <v>163</v>
      </c>
      <c r="K16" s="146"/>
      <c r="L16" s="146"/>
      <c r="M16" s="148"/>
    </row>
    <row r="17" customFormat="false" ht="21" hidden="false" customHeight="true" outlineLevel="0" collapsed="false">
      <c r="A17" s="139" t="s">
        <v>909</v>
      </c>
      <c r="B17" s="140" t="s">
        <v>685</v>
      </c>
      <c r="C17" s="141" t="s">
        <v>250</v>
      </c>
      <c r="D17" s="139" t="s">
        <v>686</v>
      </c>
      <c r="E17" s="139" t="s">
        <v>687</v>
      </c>
      <c r="F17" s="139" t="s">
        <v>162</v>
      </c>
      <c r="G17" s="142" t="n">
        <v>45914</v>
      </c>
      <c r="H17" s="141" t="s">
        <v>38</v>
      </c>
      <c r="I17" s="141"/>
      <c r="J17" s="139" t="s">
        <v>163</v>
      </c>
      <c r="K17" s="141"/>
      <c r="L17" s="141"/>
      <c r="M17" s="143"/>
    </row>
    <row r="18" customFormat="false" ht="21" hidden="false" customHeight="true" outlineLevel="0" collapsed="false">
      <c r="A18" s="144" t="s">
        <v>909</v>
      </c>
      <c r="B18" s="145" t="s">
        <v>706</v>
      </c>
      <c r="C18" s="146" t="s">
        <v>176</v>
      </c>
      <c r="D18" s="144" t="s">
        <v>707</v>
      </c>
      <c r="E18" s="144" t="s">
        <v>708</v>
      </c>
      <c r="F18" s="144" t="s">
        <v>162</v>
      </c>
      <c r="G18" s="147" t="n">
        <v>45957</v>
      </c>
      <c r="H18" s="144" t="s">
        <v>108</v>
      </c>
      <c r="I18" s="146"/>
      <c r="J18" s="144" t="s">
        <v>163</v>
      </c>
      <c r="K18" s="144" t="s">
        <v>709</v>
      </c>
      <c r="L18" s="146"/>
      <c r="M18" s="148"/>
    </row>
    <row r="19" customFormat="false" ht="21" hidden="false" customHeight="true" outlineLevel="0" collapsed="false">
      <c r="A19" s="139" t="s">
        <v>909</v>
      </c>
      <c r="B19" s="140" t="s">
        <v>711</v>
      </c>
      <c r="C19" s="141" t="s">
        <v>250</v>
      </c>
      <c r="D19" s="139" t="s">
        <v>712</v>
      </c>
      <c r="E19" s="139" t="s">
        <v>713</v>
      </c>
      <c r="F19" s="139" t="s">
        <v>162</v>
      </c>
      <c r="G19" s="142" t="n">
        <v>45411</v>
      </c>
      <c r="H19" s="139" t="s">
        <v>108</v>
      </c>
      <c r="I19" s="141"/>
      <c r="J19" s="139" t="s">
        <v>163</v>
      </c>
      <c r="K19" s="141"/>
      <c r="L19" s="141"/>
      <c r="M19" s="143"/>
    </row>
    <row r="20" customFormat="false" ht="21" hidden="false" customHeight="true" outlineLevel="0" collapsed="false">
      <c r="A20" s="144" t="s">
        <v>909</v>
      </c>
      <c r="B20" s="145" t="s">
        <v>605</v>
      </c>
      <c r="C20" s="146" t="s">
        <v>506</v>
      </c>
      <c r="D20" s="144" t="s">
        <v>606</v>
      </c>
      <c r="E20" s="144" t="s">
        <v>607</v>
      </c>
      <c r="F20" s="144" t="s">
        <v>162</v>
      </c>
      <c r="G20" s="147" t="n">
        <v>45614</v>
      </c>
      <c r="H20" s="146" t="s">
        <v>38</v>
      </c>
      <c r="I20" s="146"/>
      <c r="J20" s="144" t="s">
        <v>163</v>
      </c>
      <c r="K20" s="146"/>
      <c r="L20" s="146"/>
      <c r="M20" s="148"/>
    </row>
    <row r="21" customFormat="false" ht="21" hidden="false" customHeight="true" outlineLevel="0" collapsed="false">
      <c r="A21" s="139" t="s">
        <v>909</v>
      </c>
      <c r="B21" s="140" t="s">
        <v>715</v>
      </c>
      <c r="C21" s="141" t="s">
        <v>176</v>
      </c>
      <c r="D21" s="139" t="s">
        <v>716</v>
      </c>
      <c r="E21" s="139" t="s">
        <v>717</v>
      </c>
      <c r="F21" s="139" t="s">
        <v>162</v>
      </c>
      <c r="G21" s="142" t="n">
        <v>46278</v>
      </c>
      <c r="H21" s="139" t="s">
        <v>108</v>
      </c>
      <c r="I21" s="141"/>
      <c r="J21" s="139" t="s">
        <v>163</v>
      </c>
      <c r="K21" s="141"/>
      <c r="L21" s="141"/>
      <c r="M21" s="143"/>
    </row>
    <row r="22" customFormat="false" ht="21" hidden="false" customHeight="true" outlineLevel="0" collapsed="false">
      <c r="A22" s="144" t="s">
        <v>909</v>
      </c>
      <c r="B22" s="145" t="s">
        <v>719</v>
      </c>
      <c r="C22" s="146" t="s">
        <v>235</v>
      </c>
      <c r="D22" s="144" t="s">
        <v>721</v>
      </c>
      <c r="E22" s="144" t="s">
        <v>722</v>
      </c>
      <c r="F22" s="144" t="s">
        <v>162</v>
      </c>
      <c r="G22" s="147" t="n">
        <v>45734</v>
      </c>
      <c r="H22" s="144" t="s">
        <v>108</v>
      </c>
      <c r="I22" s="146"/>
      <c r="J22" s="144" t="s">
        <v>163</v>
      </c>
      <c r="K22" s="146"/>
      <c r="L22" s="146"/>
      <c r="M22" s="148"/>
    </row>
    <row r="23" customFormat="false" ht="21" hidden="false" customHeight="true" outlineLevel="0" collapsed="false">
      <c r="A23" s="139" t="s">
        <v>909</v>
      </c>
      <c r="B23" s="140" t="s">
        <v>1672</v>
      </c>
      <c r="C23" s="141" t="s">
        <v>506</v>
      </c>
      <c r="D23" s="139" t="s">
        <v>1673</v>
      </c>
      <c r="E23" s="139" t="s">
        <v>1674</v>
      </c>
      <c r="F23" s="139" t="s">
        <v>162</v>
      </c>
      <c r="G23" s="142" t="n">
        <v>46130</v>
      </c>
      <c r="H23" s="141" t="s">
        <v>38</v>
      </c>
      <c r="I23" s="141"/>
      <c r="J23" s="139" t="s">
        <v>163</v>
      </c>
      <c r="K23" s="141"/>
      <c r="L23" s="141"/>
      <c r="M23" s="143"/>
    </row>
    <row r="24" customFormat="false" ht="21" hidden="false" customHeight="true" outlineLevel="0" collapsed="false">
      <c r="A24" s="144" t="s">
        <v>909</v>
      </c>
      <c r="B24" s="145" t="s">
        <v>618</v>
      </c>
      <c r="C24" s="146" t="s">
        <v>506</v>
      </c>
      <c r="D24" s="144" t="s">
        <v>619</v>
      </c>
      <c r="E24" s="144" t="s">
        <v>620</v>
      </c>
      <c r="F24" s="144" t="s">
        <v>162</v>
      </c>
      <c r="G24" s="147" t="n">
        <v>46278</v>
      </c>
      <c r="H24" s="146" t="s">
        <v>38</v>
      </c>
      <c r="I24" s="146"/>
      <c r="J24" s="144" t="s">
        <v>163</v>
      </c>
      <c r="K24" s="146"/>
      <c r="L24" s="146"/>
      <c r="M24" s="148"/>
    </row>
    <row r="25" customFormat="false" ht="21" hidden="false" customHeight="true" outlineLevel="0" collapsed="false">
      <c r="A25" s="139" t="s">
        <v>909</v>
      </c>
      <c r="B25" s="140" t="s">
        <v>614</v>
      </c>
      <c r="C25" s="141" t="s">
        <v>506</v>
      </c>
      <c r="D25" s="139" t="s">
        <v>615</v>
      </c>
      <c r="E25" s="139" t="s">
        <v>1675</v>
      </c>
      <c r="F25" s="139" t="s">
        <v>162</v>
      </c>
      <c r="G25" s="142" t="n">
        <v>45648</v>
      </c>
      <c r="H25" s="141" t="s">
        <v>38</v>
      </c>
      <c r="I25" s="141"/>
      <c r="J25" s="139" t="s">
        <v>163</v>
      </c>
      <c r="K25" s="141"/>
      <c r="L25" s="141"/>
      <c r="M25" s="143"/>
    </row>
    <row r="26" customFormat="false" ht="21" hidden="false" customHeight="true" outlineLevel="0" collapsed="false">
      <c r="A26" s="144" t="s">
        <v>909</v>
      </c>
      <c r="B26" s="145" t="s">
        <v>659</v>
      </c>
      <c r="C26" s="146" t="s">
        <v>600</v>
      </c>
      <c r="D26" s="144" t="s">
        <v>1676</v>
      </c>
      <c r="E26" s="144" t="s">
        <v>1677</v>
      </c>
      <c r="F26" s="144" t="s">
        <v>162</v>
      </c>
      <c r="G26" s="147" t="n">
        <v>45411</v>
      </c>
      <c r="H26" s="146" t="s">
        <v>38</v>
      </c>
      <c r="I26" s="146"/>
      <c r="J26" s="144" t="s">
        <v>163</v>
      </c>
      <c r="K26" s="146"/>
      <c r="L26" s="146"/>
      <c r="M26" s="148"/>
    </row>
    <row r="27" customFormat="false" ht="21" hidden="false" customHeight="true" outlineLevel="0" collapsed="false">
      <c r="A27" s="139" t="s">
        <v>909</v>
      </c>
      <c r="B27" s="140" t="s">
        <v>1678</v>
      </c>
      <c r="C27" s="141" t="s">
        <v>600</v>
      </c>
      <c r="D27" s="139" t="s">
        <v>1679</v>
      </c>
      <c r="E27" s="139" t="s">
        <v>1680</v>
      </c>
      <c r="F27" s="139" t="s">
        <v>162</v>
      </c>
      <c r="G27" s="142" t="n">
        <v>45411</v>
      </c>
      <c r="H27" s="141" t="s">
        <v>38</v>
      </c>
      <c r="I27" s="141"/>
      <c r="J27" s="139" t="s">
        <v>163</v>
      </c>
      <c r="K27" s="141"/>
      <c r="L27" s="141"/>
      <c r="M27" s="143"/>
    </row>
    <row r="28" customFormat="false" ht="21" hidden="false" customHeight="true" outlineLevel="0" collapsed="false">
      <c r="A28" s="144" t="s">
        <v>909</v>
      </c>
      <c r="B28" s="145" t="s">
        <v>457</v>
      </c>
      <c r="C28" s="146" t="s">
        <v>506</v>
      </c>
      <c r="D28" s="144" t="s">
        <v>458</v>
      </c>
      <c r="E28" s="144" t="s">
        <v>459</v>
      </c>
      <c r="F28" s="144" t="s">
        <v>162</v>
      </c>
      <c r="G28" s="147" t="n">
        <v>46130</v>
      </c>
      <c r="H28" s="146"/>
      <c r="I28" s="146"/>
      <c r="J28" s="144" t="s">
        <v>163</v>
      </c>
      <c r="K28" s="146"/>
      <c r="L28" s="146"/>
      <c r="M28" s="148"/>
    </row>
    <row r="29" customFormat="false" ht="21" hidden="false" customHeight="true" outlineLevel="0" collapsed="false">
      <c r="A29" s="139" t="s">
        <v>909</v>
      </c>
      <c r="B29" s="140" t="s">
        <v>462</v>
      </c>
      <c r="C29" s="141" t="s">
        <v>506</v>
      </c>
      <c r="D29" s="139" t="s">
        <v>463</v>
      </c>
      <c r="E29" s="139" t="s">
        <v>464</v>
      </c>
      <c r="F29" s="139" t="s">
        <v>162</v>
      </c>
      <c r="G29" s="142" t="n">
        <v>46278</v>
      </c>
      <c r="H29" s="141" t="s">
        <v>107</v>
      </c>
      <c r="I29" s="141"/>
      <c r="J29" s="139" t="s">
        <v>163</v>
      </c>
      <c r="K29" s="141"/>
      <c r="L29" s="141"/>
      <c r="M29" s="143"/>
    </row>
    <row r="30" customFormat="false" ht="21" hidden="false" customHeight="true" outlineLevel="0" collapsed="false">
      <c r="A30" s="144" t="s">
        <v>909</v>
      </c>
      <c r="B30" s="145" t="s">
        <v>585</v>
      </c>
      <c r="C30" s="146" t="s">
        <v>506</v>
      </c>
      <c r="D30" s="144" t="s">
        <v>586</v>
      </c>
      <c r="E30" s="144" t="s">
        <v>587</v>
      </c>
      <c r="F30" s="144" t="s">
        <v>1681</v>
      </c>
      <c r="G30" s="147" t="n">
        <v>45325</v>
      </c>
      <c r="H30" s="146" t="s">
        <v>109</v>
      </c>
      <c r="I30" s="146"/>
      <c r="J30" s="144" t="s">
        <v>163</v>
      </c>
      <c r="K30" s="146"/>
      <c r="L30" s="146"/>
      <c r="M30" s="148"/>
    </row>
    <row r="31" customFormat="false" ht="21" hidden="false" customHeight="true" outlineLevel="0" collapsed="false">
      <c r="A31" s="139" t="s">
        <v>909</v>
      </c>
      <c r="B31" s="140" t="s">
        <v>213</v>
      </c>
      <c r="C31" s="141" t="s">
        <v>250</v>
      </c>
      <c r="D31" s="139" t="s">
        <v>214</v>
      </c>
      <c r="E31" s="139" t="s">
        <v>215</v>
      </c>
      <c r="F31" s="139" t="s">
        <v>162</v>
      </c>
      <c r="G31" s="142" t="n">
        <v>45914</v>
      </c>
      <c r="H31" s="141" t="s">
        <v>36</v>
      </c>
      <c r="I31" s="141"/>
      <c r="J31" s="139" t="s">
        <v>163</v>
      </c>
      <c r="K31" s="141"/>
      <c r="L31" s="141"/>
      <c r="M31" s="143"/>
    </row>
    <row r="32" customFormat="false" ht="21" hidden="false" customHeight="true" outlineLevel="0" collapsed="false">
      <c r="A32" s="144" t="s">
        <v>909</v>
      </c>
      <c r="B32" s="145" t="s">
        <v>740</v>
      </c>
      <c r="C32" s="146" t="s">
        <v>302</v>
      </c>
      <c r="D32" s="144" t="s">
        <v>741</v>
      </c>
      <c r="E32" s="144" t="s">
        <v>742</v>
      </c>
      <c r="F32" s="144" t="s">
        <v>162</v>
      </c>
      <c r="G32" s="147" t="n">
        <v>45775</v>
      </c>
      <c r="H32" s="144" t="s">
        <v>108</v>
      </c>
      <c r="I32" s="146"/>
      <c r="J32" s="144" t="s">
        <v>163</v>
      </c>
      <c r="K32" s="146"/>
      <c r="L32" s="146"/>
      <c r="M32" s="148"/>
    </row>
    <row r="33" customFormat="false" ht="21" hidden="false" customHeight="true" outlineLevel="0" collapsed="false">
      <c r="A33" s="139" t="s">
        <v>909</v>
      </c>
      <c r="B33" s="140" t="s">
        <v>1682</v>
      </c>
      <c r="C33" s="141" t="s">
        <v>600</v>
      </c>
      <c r="D33" s="139" t="s">
        <v>1683</v>
      </c>
      <c r="E33" s="139" t="s">
        <v>1684</v>
      </c>
      <c r="F33" s="139" t="s">
        <v>162</v>
      </c>
      <c r="G33" s="142" t="n">
        <v>46042</v>
      </c>
      <c r="H33" s="141" t="s">
        <v>38</v>
      </c>
      <c r="I33" s="141"/>
      <c r="J33" s="139" t="s">
        <v>163</v>
      </c>
      <c r="K33" s="141"/>
      <c r="L33" s="141"/>
      <c r="M33" s="143"/>
    </row>
    <row r="34" customFormat="false" ht="21" hidden="false" customHeight="true" outlineLevel="0" collapsed="false">
      <c r="A34" s="144" t="s">
        <v>909</v>
      </c>
      <c r="B34" s="145" t="s">
        <v>689</v>
      </c>
      <c r="C34" s="146" t="s">
        <v>600</v>
      </c>
      <c r="D34" s="144" t="s">
        <v>690</v>
      </c>
      <c r="E34" s="144" t="s">
        <v>1685</v>
      </c>
      <c r="F34" s="144" t="s">
        <v>162</v>
      </c>
      <c r="G34" s="147" t="n">
        <v>45734</v>
      </c>
      <c r="H34" s="146" t="s">
        <v>38</v>
      </c>
      <c r="I34" s="146"/>
      <c r="J34" s="144" t="s">
        <v>163</v>
      </c>
      <c r="K34" s="146"/>
      <c r="L34" s="146"/>
      <c r="M34" s="148"/>
    </row>
    <row r="35" customFormat="false" ht="21" hidden="false" customHeight="true" outlineLevel="0" collapsed="false">
      <c r="A35" s="139" t="s">
        <v>909</v>
      </c>
      <c r="B35" s="140" t="s">
        <v>217</v>
      </c>
      <c r="C35" s="141" t="s">
        <v>159</v>
      </c>
      <c r="D35" s="139" t="s">
        <v>218</v>
      </c>
      <c r="E35" s="139" t="s">
        <v>219</v>
      </c>
      <c r="F35" s="139" t="s">
        <v>162</v>
      </c>
      <c r="G35" s="142" t="n">
        <v>45730</v>
      </c>
      <c r="H35" s="141" t="s">
        <v>36</v>
      </c>
      <c r="I35" s="141"/>
      <c r="J35" s="139" t="s">
        <v>163</v>
      </c>
      <c r="K35" s="141"/>
      <c r="L35" s="141"/>
      <c r="M35" s="143"/>
    </row>
    <row r="36" customFormat="false" ht="21" hidden="false" customHeight="true" outlineLevel="0" collapsed="false">
      <c r="A36" s="144" t="s">
        <v>909</v>
      </c>
      <c r="B36" s="145" t="s">
        <v>650</v>
      </c>
      <c r="C36" s="146" t="s">
        <v>506</v>
      </c>
      <c r="D36" s="144" t="s">
        <v>1686</v>
      </c>
      <c r="E36" s="144" t="s">
        <v>1687</v>
      </c>
      <c r="F36" s="144" t="s">
        <v>162</v>
      </c>
      <c r="G36" s="147" t="n">
        <v>46130</v>
      </c>
      <c r="H36" s="146" t="s">
        <v>38</v>
      </c>
      <c r="I36" s="146"/>
      <c r="J36" s="144" t="s">
        <v>163</v>
      </c>
      <c r="K36" s="146"/>
      <c r="L36" s="146"/>
      <c r="M36" s="148"/>
    </row>
    <row r="37" customFormat="false" ht="21" hidden="false" customHeight="true" outlineLevel="0" collapsed="false">
      <c r="A37" s="139" t="s">
        <v>909</v>
      </c>
      <c r="B37" s="140" t="s">
        <v>724</v>
      </c>
      <c r="C37" s="141" t="s">
        <v>1688</v>
      </c>
      <c r="D37" s="139" t="s">
        <v>725</v>
      </c>
      <c r="E37" s="139" t="s">
        <v>726</v>
      </c>
      <c r="F37" s="139" t="s">
        <v>361</v>
      </c>
      <c r="G37" s="142" t="n">
        <v>45193</v>
      </c>
      <c r="H37" s="139" t="s">
        <v>108</v>
      </c>
      <c r="I37" s="141"/>
      <c r="J37" s="139" t="s">
        <v>163</v>
      </c>
      <c r="K37" s="141"/>
      <c r="L37" s="141"/>
      <c r="M37" s="143"/>
    </row>
    <row r="38" customFormat="false" ht="21" hidden="false" customHeight="true" outlineLevel="0" collapsed="false">
      <c r="A38" s="144" t="s">
        <v>909</v>
      </c>
      <c r="B38" s="145" t="s">
        <v>693</v>
      </c>
      <c r="C38" s="146" t="s">
        <v>1688</v>
      </c>
      <c r="D38" s="144" t="s">
        <v>694</v>
      </c>
      <c r="E38" s="144" t="s">
        <v>1689</v>
      </c>
      <c r="F38" s="144" t="s">
        <v>361</v>
      </c>
      <c r="G38" s="147" t="n">
        <v>45191</v>
      </c>
      <c r="H38" s="146" t="s">
        <v>38</v>
      </c>
      <c r="I38" s="146"/>
      <c r="J38" s="144" t="s">
        <v>163</v>
      </c>
      <c r="K38" s="146"/>
      <c r="L38" s="146"/>
      <c r="M38" s="148"/>
    </row>
    <row r="39" customFormat="false" ht="21" hidden="false" customHeight="true" outlineLevel="0" collapsed="false">
      <c r="A39" s="139" t="s">
        <v>909</v>
      </c>
      <c r="B39" s="140" t="s">
        <v>672</v>
      </c>
      <c r="C39" s="141" t="s">
        <v>600</v>
      </c>
      <c r="D39" s="139" t="s">
        <v>673</v>
      </c>
      <c r="E39" s="139" t="s">
        <v>1690</v>
      </c>
      <c r="F39" s="139" t="s">
        <v>162</v>
      </c>
      <c r="G39" s="142" t="n">
        <v>46130</v>
      </c>
      <c r="H39" s="141" t="s">
        <v>38</v>
      </c>
      <c r="I39" s="141"/>
      <c r="J39" s="139" t="s">
        <v>163</v>
      </c>
      <c r="K39" s="141"/>
      <c r="L39" s="141"/>
      <c r="M39" s="143"/>
    </row>
    <row r="40" customFormat="false" ht="21" hidden="false" customHeight="true" outlineLevel="0" collapsed="false">
      <c r="A40" s="144" t="s">
        <v>909</v>
      </c>
      <c r="B40" s="145" t="s">
        <v>1691</v>
      </c>
      <c r="C40" s="146" t="s">
        <v>1692</v>
      </c>
      <c r="D40" s="144" t="s">
        <v>1693</v>
      </c>
      <c r="E40" s="144" t="s">
        <v>1694</v>
      </c>
      <c r="F40" s="144" t="s">
        <v>361</v>
      </c>
      <c r="G40" s="147" t="n">
        <v>45120</v>
      </c>
      <c r="H40" s="146" t="s">
        <v>38</v>
      </c>
      <c r="I40" s="146"/>
      <c r="J40" s="144" t="s">
        <v>163</v>
      </c>
      <c r="K40" s="146"/>
      <c r="L40" s="146"/>
      <c r="M40" s="148"/>
    </row>
    <row r="41" customFormat="false" ht="21" hidden="false" customHeight="true" outlineLevel="0" collapsed="false">
      <c r="A41" s="139" t="s">
        <v>909</v>
      </c>
      <c r="B41" s="140" t="s">
        <v>221</v>
      </c>
      <c r="C41" s="141" t="s">
        <v>222</v>
      </c>
      <c r="D41" s="139" t="s">
        <v>223</v>
      </c>
      <c r="E41" s="139" t="s">
        <v>224</v>
      </c>
      <c r="F41" s="139" t="s">
        <v>225</v>
      </c>
      <c r="G41" s="151"/>
      <c r="H41" s="141" t="s">
        <v>36</v>
      </c>
      <c r="I41" s="141"/>
      <c r="J41" s="139" t="s">
        <v>226</v>
      </c>
      <c r="K41" s="139" t="s">
        <v>227</v>
      </c>
      <c r="L41" s="141"/>
      <c r="M41" s="143"/>
    </row>
    <row r="42" customFormat="false" ht="21" hidden="false" customHeight="true" outlineLevel="0" collapsed="false">
      <c r="A42" s="144" t="s">
        <v>909</v>
      </c>
      <c r="B42" s="145" t="s">
        <v>728</v>
      </c>
      <c r="C42" s="146" t="s">
        <v>302</v>
      </c>
      <c r="D42" s="144" t="s">
        <v>729</v>
      </c>
      <c r="E42" s="144" t="s">
        <v>730</v>
      </c>
      <c r="F42" s="144" t="s">
        <v>162</v>
      </c>
      <c r="G42" s="147" t="n">
        <v>46205</v>
      </c>
      <c r="H42" s="144" t="s">
        <v>108</v>
      </c>
      <c r="I42" s="146"/>
      <c r="J42" s="144" t="s">
        <v>163</v>
      </c>
      <c r="K42" s="146"/>
      <c r="L42" s="146"/>
      <c r="M42" s="148"/>
    </row>
    <row r="43" customFormat="false" ht="21" hidden="false" customHeight="true" outlineLevel="0" collapsed="false">
      <c r="A43" s="139" t="s">
        <v>909</v>
      </c>
      <c r="B43" s="140" t="s">
        <v>645</v>
      </c>
      <c r="C43" s="141" t="s">
        <v>302</v>
      </c>
      <c r="D43" s="139" t="s">
        <v>1695</v>
      </c>
      <c r="E43" s="139" t="s">
        <v>648</v>
      </c>
      <c r="F43" s="139" t="s">
        <v>162</v>
      </c>
      <c r="G43" s="142" t="n">
        <v>46206</v>
      </c>
      <c r="H43" s="141" t="s">
        <v>38</v>
      </c>
      <c r="I43" s="141"/>
      <c r="J43" s="139" t="s">
        <v>163</v>
      </c>
      <c r="K43" s="141"/>
      <c r="L43" s="141"/>
      <c r="M43" s="143"/>
    </row>
    <row r="44" customFormat="false" ht="21" hidden="false" customHeight="true" outlineLevel="0" collapsed="false">
      <c r="A44" s="144" t="s">
        <v>909</v>
      </c>
      <c r="B44" s="145" t="s">
        <v>732</v>
      </c>
      <c r="C44" s="146" t="s">
        <v>250</v>
      </c>
      <c r="D44" s="144" t="s">
        <v>733</v>
      </c>
      <c r="E44" s="144" t="s">
        <v>734</v>
      </c>
      <c r="F44" s="144" t="s">
        <v>162</v>
      </c>
      <c r="G44" s="147" t="n">
        <v>46088</v>
      </c>
      <c r="H44" s="144" t="s">
        <v>108</v>
      </c>
      <c r="I44" s="146"/>
      <c r="J44" s="144" t="s">
        <v>163</v>
      </c>
      <c r="K44" s="146"/>
      <c r="L44" s="146"/>
      <c r="M44" s="148"/>
    </row>
    <row r="45" customFormat="false" ht="21" hidden="false" customHeight="true" outlineLevel="0" collapsed="false">
      <c r="A45" s="139" t="s">
        <v>909</v>
      </c>
      <c r="B45" s="140" t="s">
        <v>736</v>
      </c>
      <c r="C45" s="141" t="s">
        <v>250</v>
      </c>
      <c r="D45" s="139" t="s">
        <v>737</v>
      </c>
      <c r="E45" s="139" t="s">
        <v>738</v>
      </c>
      <c r="F45" s="139" t="s">
        <v>162</v>
      </c>
      <c r="G45" s="142" t="n">
        <v>45731</v>
      </c>
      <c r="H45" s="139" t="s">
        <v>108</v>
      </c>
      <c r="I45" s="141"/>
      <c r="J45" s="139" t="s">
        <v>163</v>
      </c>
      <c r="K45" s="141"/>
      <c r="L45" s="141"/>
      <c r="M45" s="143"/>
    </row>
    <row r="46" customFormat="false" ht="21" hidden="false" customHeight="true" outlineLevel="0" collapsed="false">
      <c r="A46" s="144" t="s">
        <v>909</v>
      </c>
      <c r="B46" s="145" t="s">
        <v>466</v>
      </c>
      <c r="C46" s="146" t="s">
        <v>250</v>
      </c>
      <c r="D46" s="144" t="s">
        <v>467</v>
      </c>
      <c r="E46" s="144" t="s">
        <v>468</v>
      </c>
      <c r="F46" s="144" t="s">
        <v>162</v>
      </c>
      <c r="G46" s="147" t="n">
        <v>45731</v>
      </c>
      <c r="H46" s="146" t="s">
        <v>107</v>
      </c>
      <c r="I46" s="146"/>
      <c r="J46" s="144" t="s">
        <v>163</v>
      </c>
      <c r="K46" s="144" t="s">
        <v>469</v>
      </c>
      <c r="L46" s="146"/>
      <c r="M46" s="148"/>
    </row>
    <row r="47" customFormat="false" ht="21" hidden="false" customHeight="true" outlineLevel="0" collapsed="false">
      <c r="A47" s="139" t="s">
        <v>909</v>
      </c>
      <c r="B47" s="140" t="s">
        <v>471</v>
      </c>
      <c r="C47" s="141" t="s">
        <v>250</v>
      </c>
      <c r="D47" s="139" t="s">
        <v>472</v>
      </c>
      <c r="E47" s="139" t="s">
        <v>473</v>
      </c>
      <c r="F47" s="139" t="s">
        <v>162</v>
      </c>
      <c r="G47" s="142" t="n">
        <v>45731</v>
      </c>
      <c r="H47" s="141" t="s">
        <v>107</v>
      </c>
      <c r="I47" s="141"/>
      <c r="J47" s="139" t="s">
        <v>163</v>
      </c>
      <c r="K47" s="139" t="s">
        <v>474</v>
      </c>
      <c r="L47" s="141"/>
      <c r="M47" s="143"/>
    </row>
    <row r="48" customFormat="false" ht="21" hidden="false" customHeight="true" outlineLevel="0" collapsed="false">
      <c r="A48" s="144" t="s">
        <v>909</v>
      </c>
      <c r="B48" s="145" t="s">
        <v>476</v>
      </c>
      <c r="C48" s="146" t="s">
        <v>250</v>
      </c>
      <c r="D48" s="144" t="s">
        <v>477</v>
      </c>
      <c r="E48" s="144" t="s">
        <v>478</v>
      </c>
      <c r="F48" s="144" t="s">
        <v>162</v>
      </c>
      <c r="G48" s="147" t="n">
        <v>45706</v>
      </c>
      <c r="H48" s="146" t="s">
        <v>107</v>
      </c>
      <c r="I48" s="146"/>
      <c r="J48" s="144" t="s">
        <v>163</v>
      </c>
      <c r="K48" s="146"/>
      <c r="L48" s="146"/>
      <c r="M48" s="148"/>
    </row>
    <row r="49" customFormat="false" ht="21" hidden="false" customHeight="true" outlineLevel="0" collapsed="false">
      <c r="A49" s="139" t="s">
        <v>909</v>
      </c>
      <c r="B49" s="140" t="s">
        <v>480</v>
      </c>
      <c r="C49" s="141" t="s">
        <v>176</v>
      </c>
      <c r="D49" s="139" t="s">
        <v>481</v>
      </c>
      <c r="E49" s="139" t="s">
        <v>482</v>
      </c>
      <c r="F49" s="139" t="s">
        <v>162</v>
      </c>
      <c r="G49" s="142" t="n">
        <v>45731</v>
      </c>
      <c r="H49" s="141" t="s">
        <v>107</v>
      </c>
      <c r="I49" s="141"/>
      <c r="J49" s="139" t="s">
        <v>163</v>
      </c>
      <c r="K49" s="141"/>
      <c r="L49" s="141"/>
      <c r="M49" s="143"/>
    </row>
    <row r="50" customFormat="false" ht="21" hidden="false" customHeight="true" outlineLevel="0" collapsed="false">
      <c r="A50" s="144" t="s">
        <v>909</v>
      </c>
      <c r="B50" s="145" t="s">
        <v>484</v>
      </c>
      <c r="C50" s="146" t="s">
        <v>250</v>
      </c>
      <c r="D50" s="144" t="s">
        <v>485</v>
      </c>
      <c r="E50" s="144" t="s">
        <v>486</v>
      </c>
      <c r="F50" s="144" t="s">
        <v>162</v>
      </c>
      <c r="G50" s="147" t="n">
        <v>45720</v>
      </c>
      <c r="H50" s="146" t="s">
        <v>107</v>
      </c>
      <c r="I50" s="146"/>
      <c r="J50" s="144" t="s">
        <v>163</v>
      </c>
      <c r="K50" s="146"/>
      <c r="L50" s="146"/>
      <c r="M50" s="148"/>
    </row>
    <row r="51" customFormat="false" ht="21" hidden="false" customHeight="true" outlineLevel="0" collapsed="false">
      <c r="A51" s="139" t="s">
        <v>909</v>
      </c>
      <c r="B51" s="140" t="s">
        <v>488</v>
      </c>
      <c r="C51" s="141" t="s">
        <v>250</v>
      </c>
      <c r="D51" s="139" t="s">
        <v>489</v>
      </c>
      <c r="E51" s="139" t="s">
        <v>490</v>
      </c>
      <c r="F51" s="139" t="s">
        <v>162</v>
      </c>
      <c r="G51" s="142" t="n">
        <v>45780</v>
      </c>
      <c r="H51" s="141" t="s">
        <v>107</v>
      </c>
      <c r="I51" s="141"/>
      <c r="J51" s="139" t="s">
        <v>163</v>
      </c>
      <c r="K51" s="139" t="s">
        <v>491</v>
      </c>
      <c r="L51" s="141"/>
      <c r="M51" s="143"/>
    </row>
    <row r="52" customFormat="false" ht="21" hidden="false" customHeight="true" outlineLevel="0" collapsed="false">
      <c r="A52" s="144" t="s">
        <v>909</v>
      </c>
      <c r="B52" s="145" t="s">
        <v>493</v>
      </c>
      <c r="C52" s="146" t="s">
        <v>159</v>
      </c>
      <c r="D52" s="144" t="s">
        <v>494</v>
      </c>
      <c r="E52" s="144" t="s">
        <v>495</v>
      </c>
      <c r="F52" s="144" t="s">
        <v>162</v>
      </c>
      <c r="G52" s="147" t="n">
        <v>45914</v>
      </c>
      <c r="H52" s="144" t="s">
        <v>110</v>
      </c>
      <c r="I52" s="146"/>
      <c r="J52" s="144" t="s">
        <v>163</v>
      </c>
      <c r="K52" s="146"/>
      <c r="L52" s="146"/>
      <c r="M52" s="148"/>
    </row>
    <row r="53" customFormat="false" ht="21" hidden="false" customHeight="true" outlineLevel="0" collapsed="false">
      <c r="A53" s="139" t="s">
        <v>909</v>
      </c>
      <c r="B53" s="140" t="s">
        <v>497</v>
      </c>
      <c r="C53" s="141" t="s">
        <v>250</v>
      </c>
      <c r="D53" s="139" t="s">
        <v>498</v>
      </c>
      <c r="E53" s="139" t="s">
        <v>499</v>
      </c>
      <c r="F53" s="139" t="s">
        <v>162</v>
      </c>
      <c r="G53" s="142" t="n">
        <v>45709</v>
      </c>
      <c r="H53" s="139" t="s">
        <v>110</v>
      </c>
      <c r="I53" s="141"/>
      <c r="J53" s="139" t="s">
        <v>163</v>
      </c>
      <c r="K53" s="141"/>
      <c r="L53" s="141"/>
      <c r="M53" s="143"/>
    </row>
    <row r="54" customFormat="false" ht="21" hidden="false" customHeight="true" outlineLevel="0" collapsed="false">
      <c r="A54" s="144" t="s">
        <v>909</v>
      </c>
      <c r="B54" s="145" t="s">
        <v>1696</v>
      </c>
      <c r="C54" s="146" t="s">
        <v>250</v>
      </c>
      <c r="D54" s="144" t="s">
        <v>1697</v>
      </c>
      <c r="E54" s="144" t="s">
        <v>1698</v>
      </c>
      <c r="F54" s="144" t="s">
        <v>162</v>
      </c>
      <c r="G54" s="147" t="n">
        <v>46130</v>
      </c>
      <c r="H54" s="146" t="s">
        <v>38</v>
      </c>
      <c r="I54" s="146"/>
      <c r="J54" s="144" t="s">
        <v>163</v>
      </c>
      <c r="K54" s="146"/>
      <c r="L54" s="146"/>
      <c r="M54" s="148"/>
    </row>
    <row r="55" customFormat="false" ht="21" hidden="false" customHeight="true" outlineLevel="0" collapsed="false">
      <c r="A55" s="139" t="s">
        <v>909</v>
      </c>
      <c r="B55" s="140" t="s">
        <v>501</v>
      </c>
      <c r="C55" s="141" t="s">
        <v>176</v>
      </c>
      <c r="D55" s="139" t="s">
        <v>502</v>
      </c>
      <c r="E55" s="139" t="s">
        <v>503</v>
      </c>
      <c r="F55" s="139" t="s">
        <v>162</v>
      </c>
      <c r="G55" s="142" t="n">
        <v>45706</v>
      </c>
      <c r="H55" s="139" t="s">
        <v>110</v>
      </c>
      <c r="I55" s="141"/>
      <c r="J55" s="139" t="s">
        <v>163</v>
      </c>
      <c r="K55" s="141"/>
      <c r="L55" s="141"/>
      <c r="M55" s="143"/>
    </row>
    <row r="56" customFormat="false" ht="21" hidden="false" customHeight="true" outlineLevel="0" collapsed="false">
      <c r="A56" s="144" t="s">
        <v>909</v>
      </c>
      <c r="B56" s="145" t="s">
        <v>1699</v>
      </c>
      <c r="C56" s="146" t="s">
        <v>176</v>
      </c>
      <c r="D56" s="144" t="s">
        <v>1700</v>
      </c>
      <c r="E56" s="144" t="s">
        <v>1701</v>
      </c>
      <c r="F56" s="144" t="s">
        <v>162</v>
      </c>
      <c r="G56" s="147" t="n">
        <v>46278</v>
      </c>
      <c r="H56" s="146" t="s">
        <v>38</v>
      </c>
      <c r="I56" s="146"/>
      <c r="J56" s="144" t="s">
        <v>163</v>
      </c>
      <c r="K56" s="146"/>
      <c r="L56" s="146"/>
      <c r="M56" s="148"/>
    </row>
    <row r="57" customFormat="false" ht="21" hidden="false" customHeight="true" outlineLevel="0" collapsed="false">
      <c r="A57" s="139" t="s">
        <v>909</v>
      </c>
      <c r="B57" s="140" t="s">
        <v>229</v>
      </c>
      <c r="C57" s="141" t="s">
        <v>250</v>
      </c>
      <c r="D57" s="139" t="s">
        <v>230</v>
      </c>
      <c r="E57" s="139" t="s">
        <v>231</v>
      </c>
      <c r="F57" s="139" t="s">
        <v>162</v>
      </c>
      <c r="G57" s="142" t="n">
        <v>45648</v>
      </c>
      <c r="H57" s="141" t="s">
        <v>36</v>
      </c>
      <c r="I57" s="141"/>
      <c r="J57" s="139" t="s">
        <v>163</v>
      </c>
      <c r="K57" s="139" t="s">
        <v>232</v>
      </c>
      <c r="L57" s="141"/>
      <c r="M57" s="143"/>
    </row>
    <row r="58" customFormat="false" ht="21" hidden="false" customHeight="true" outlineLevel="0" collapsed="false">
      <c r="A58" s="144" t="s">
        <v>909</v>
      </c>
      <c r="B58" s="145" t="s">
        <v>1702</v>
      </c>
      <c r="C58" s="146" t="s">
        <v>250</v>
      </c>
      <c r="D58" s="144" t="s">
        <v>1703</v>
      </c>
      <c r="E58" s="144" t="s">
        <v>1704</v>
      </c>
      <c r="F58" s="144" t="s">
        <v>162</v>
      </c>
      <c r="G58" s="147" t="n">
        <v>46132</v>
      </c>
      <c r="H58" s="146" t="s">
        <v>38</v>
      </c>
      <c r="I58" s="146"/>
      <c r="J58" s="144" t="s">
        <v>163</v>
      </c>
      <c r="K58" s="146"/>
      <c r="L58" s="146"/>
      <c r="M58" s="148"/>
    </row>
    <row r="59" customFormat="false" ht="21" hidden="false" customHeight="true" outlineLevel="0" collapsed="false">
      <c r="A59" s="139" t="s">
        <v>909</v>
      </c>
      <c r="B59" s="140" t="s">
        <v>234</v>
      </c>
      <c r="C59" s="141" t="s">
        <v>176</v>
      </c>
      <c r="D59" s="139" t="s">
        <v>236</v>
      </c>
      <c r="E59" s="139" t="s">
        <v>237</v>
      </c>
      <c r="F59" s="139" t="s">
        <v>162</v>
      </c>
      <c r="G59" s="142" t="n">
        <v>45704</v>
      </c>
      <c r="H59" s="141" t="s">
        <v>36</v>
      </c>
      <c r="I59" s="141"/>
      <c r="J59" s="139" t="s">
        <v>163</v>
      </c>
      <c r="K59" s="139" t="s">
        <v>238</v>
      </c>
      <c r="L59" s="141"/>
      <c r="M59" s="143"/>
    </row>
    <row r="60" customFormat="false" ht="21" hidden="false" customHeight="true" outlineLevel="0" collapsed="false">
      <c r="A60" s="144" t="s">
        <v>909</v>
      </c>
      <c r="B60" s="145" t="s">
        <v>626</v>
      </c>
      <c r="C60" s="146" t="s">
        <v>250</v>
      </c>
      <c r="D60" s="144" t="s">
        <v>1705</v>
      </c>
      <c r="E60" s="144" t="s">
        <v>1706</v>
      </c>
      <c r="F60" s="144" t="s">
        <v>162</v>
      </c>
      <c r="G60" s="147" t="n">
        <v>46221</v>
      </c>
      <c r="H60" s="146" t="s">
        <v>38</v>
      </c>
      <c r="I60" s="146"/>
      <c r="J60" s="144" t="s">
        <v>163</v>
      </c>
      <c r="K60" s="146"/>
      <c r="L60" s="146"/>
      <c r="M60" s="148"/>
    </row>
    <row r="61" customFormat="false" ht="21" hidden="false" customHeight="true" outlineLevel="0" collapsed="false">
      <c r="A61" s="139" t="s">
        <v>909</v>
      </c>
      <c r="B61" s="140" t="s">
        <v>240</v>
      </c>
      <c r="C61" s="141" t="s">
        <v>250</v>
      </c>
      <c r="D61" s="139" t="s">
        <v>241</v>
      </c>
      <c r="E61" s="139" t="s">
        <v>242</v>
      </c>
      <c r="F61" s="139" t="s">
        <v>162</v>
      </c>
      <c r="G61" s="142" t="n">
        <v>45648</v>
      </c>
      <c r="H61" s="141" t="s">
        <v>36</v>
      </c>
      <c r="I61" s="141"/>
      <c r="J61" s="139" t="s">
        <v>163</v>
      </c>
      <c r="K61" s="141"/>
      <c r="L61" s="141"/>
      <c r="M61" s="143"/>
    </row>
    <row r="62" customFormat="false" ht="21" hidden="false" customHeight="true" outlineLevel="0" collapsed="false">
      <c r="A62" s="144" t="s">
        <v>909</v>
      </c>
      <c r="B62" s="145" t="s">
        <v>1707</v>
      </c>
      <c r="C62" s="146" t="s">
        <v>176</v>
      </c>
      <c r="D62" s="144" t="s">
        <v>1708</v>
      </c>
      <c r="E62" s="144" t="s">
        <v>1709</v>
      </c>
      <c r="F62" s="144" t="s">
        <v>162</v>
      </c>
      <c r="G62" s="147" t="n">
        <v>46130</v>
      </c>
      <c r="H62" s="146" t="s">
        <v>38</v>
      </c>
      <c r="I62" s="146"/>
      <c r="J62" s="144" t="s">
        <v>163</v>
      </c>
      <c r="K62" s="146"/>
      <c r="L62" s="146"/>
      <c r="M62" s="148"/>
    </row>
    <row r="63" customFormat="false" ht="21" hidden="false" customHeight="true" outlineLevel="0" collapsed="false">
      <c r="A63" s="139" t="s">
        <v>909</v>
      </c>
      <c r="B63" s="140" t="s">
        <v>244</v>
      </c>
      <c r="C63" s="141" t="s">
        <v>250</v>
      </c>
      <c r="D63" s="139" t="s">
        <v>245</v>
      </c>
      <c r="E63" s="139" t="s">
        <v>246</v>
      </c>
      <c r="F63" s="139" t="s">
        <v>162</v>
      </c>
      <c r="G63" s="142" t="n">
        <v>46130</v>
      </c>
      <c r="H63" s="141" t="s">
        <v>36</v>
      </c>
      <c r="I63" s="141"/>
      <c r="J63" s="139" t="s">
        <v>163</v>
      </c>
      <c r="K63" s="139" t="s">
        <v>247</v>
      </c>
      <c r="L63" s="141"/>
      <c r="M63" s="143"/>
    </row>
    <row r="64" customFormat="false" ht="21" hidden="false" customHeight="true" outlineLevel="0" collapsed="false">
      <c r="A64" s="144" t="s">
        <v>909</v>
      </c>
      <c r="B64" s="145" t="s">
        <v>1710</v>
      </c>
      <c r="C64" s="146" t="s">
        <v>176</v>
      </c>
      <c r="D64" s="144" t="s">
        <v>1711</v>
      </c>
      <c r="E64" s="144" t="s">
        <v>1712</v>
      </c>
      <c r="F64" s="144" t="s">
        <v>162</v>
      </c>
      <c r="G64" s="147" t="n">
        <v>46221</v>
      </c>
      <c r="H64" s="146" t="s">
        <v>38</v>
      </c>
      <c r="I64" s="146"/>
      <c r="J64" s="144" t="s">
        <v>163</v>
      </c>
      <c r="K64" s="146"/>
      <c r="L64" s="146"/>
      <c r="M64" s="148"/>
    </row>
    <row r="65" customFormat="false" ht="21" hidden="false" customHeight="true" outlineLevel="0" collapsed="false">
      <c r="A65" s="139" t="s">
        <v>909</v>
      </c>
      <c r="B65" s="140" t="s">
        <v>249</v>
      </c>
      <c r="C65" s="141" t="s">
        <v>250</v>
      </c>
      <c r="D65" s="139" t="s">
        <v>251</v>
      </c>
      <c r="E65" s="139" t="s">
        <v>252</v>
      </c>
      <c r="F65" s="139" t="s">
        <v>162</v>
      </c>
      <c r="G65" s="142" t="n">
        <v>45706</v>
      </c>
      <c r="H65" s="141" t="s">
        <v>36</v>
      </c>
      <c r="I65" s="141"/>
      <c r="J65" s="139" t="s">
        <v>163</v>
      </c>
      <c r="K65" s="141"/>
      <c r="L65" s="141"/>
      <c r="M65" s="143"/>
    </row>
    <row r="66" customFormat="false" ht="21" hidden="false" customHeight="true" outlineLevel="0" collapsed="false">
      <c r="A66" s="144" t="s">
        <v>909</v>
      </c>
      <c r="B66" s="145" t="s">
        <v>609</v>
      </c>
      <c r="C66" s="146" t="s">
        <v>176</v>
      </c>
      <c r="D66" s="144" t="s">
        <v>610</v>
      </c>
      <c r="E66" s="144" t="s">
        <v>1713</v>
      </c>
      <c r="F66" s="144" t="s">
        <v>162</v>
      </c>
      <c r="G66" s="147" t="n">
        <v>46123</v>
      </c>
      <c r="H66" s="146" t="s">
        <v>38</v>
      </c>
      <c r="I66" s="146"/>
      <c r="J66" s="144" t="s">
        <v>163</v>
      </c>
      <c r="K66" s="146"/>
      <c r="L66" s="146"/>
      <c r="M66" s="148"/>
    </row>
    <row r="67" customFormat="false" ht="21" hidden="false" customHeight="true" outlineLevel="0" collapsed="false">
      <c r="A67" s="139" t="s">
        <v>909</v>
      </c>
      <c r="B67" s="140" t="s">
        <v>255</v>
      </c>
      <c r="C67" s="141" t="s">
        <v>176</v>
      </c>
      <c r="D67" s="139" t="s">
        <v>256</v>
      </c>
      <c r="E67" s="139" t="s">
        <v>257</v>
      </c>
      <c r="F67" s="139" t="s">
        <v>162</v>
      </c>
      <c r="G67" s="142" t="n">
        <v>46205</v>
      </c>
      <c r="H67" s="139" t="s">
        <v>111</v>
      </c>
      <c r="I67" s="141"/>
      <c r="J67" s="139" t="s">
        <v>163</v>
      </c>
      <c r="K67" s="141"/>
      <c r="L67" s="141"/>
      <c r="M67" s="143"/>
    </row>
    <row r="68" customFormat="false" ht="21" hidden="false" customHeight="true" outlineLevel="0" collapsed="false">
      <c r="A68" s="144" t="s">
        <v>909</v>
      </c>
      <c r="B68" s="145" t="s">
        <v>637</v>
      </c>
      <c r="C68" s="146" t="s">
        <v>176</v>
      </c>
      <c r="D68" s="144" t="s">
        <v>1714</v>
      </c>
      <c r="E68" s="144" t="s">
        <v>1715</v>
      </c>
      <c r="F68" s="144" t="s">
        <v>162</v>
      </c>
      <c r="G68" s="147" t="n">
        <v>46196</v>
      </c>
      <c r="H68" s="146" t="s">
        <v>38</v>
      </c>
      <c r="I68" s="146"/>
      <c r="J68" s="144" t="s">
        <v>163</v>
      </c>
      <c r="K68" s="146"/>
      <c r="L68" s="146"/>
      <c r="M68" s="148"/>
    </row>
    <row r="69" customFormat="false" ht="21" hidden="false" customHeight="true" outlineLevel="0" collapsed="false">
      <c r="A69" s="139" t="s">
        <v>909</v>
      </c>
      <c r="B69" s="140" t="s">
        <v>260</v>
      </c>
      <c r="C69" s="141" t="s">
        <v>250</v>
      </c>
      <c r="D69" s="139" t="s">
        <v>261</v>
      </c>
      <c r="E69" s="139" t="s">
        <v>262</v>
      </c>
      <c r="F69" s="139" t="s">
        <v>162</v>
      </c>
      <c r="G69" s="142" t="n">
        <v>45585</v>
      </c>
      <c r="H69" s="141" t="s">
        <v>36</v>
      </c>
      <c r="I69" s="141"/>
      <c r="J69" s="139" t="s">
        <v>163</v>
      </c>
      <c r="K69" s="141"/>
      <c r="L69" s="141"/>
      <c r="M69" s="143"/>
    </row>
    <row r="70" customFormat="false" ht="21" hidden="false" customHeight="true" outlineLevel="0" collapsed="false">
      <c r="A70" s="144" t="s">
        <v>909</v>
      </c>
      <c r="B70" s="145" t="s">
        <v>630</v>
      </c>
      <c r="C70" s="146" t="s">
        <v>176</v>
      </c>
      <c r="D70" s="144" t="s">
        <v>1716</v>
      </c>
      <c r="E70" s="144" t="s">
        <v>1717</v>
      </c>
      <c r="F70" s="144" t="s">
        <v>162</v>
      </c>
      <c r="G70" s="147" t="n">
        <v>46130</v>
      </c>
      <c r="H70" s="146" t="s">
        <v>38</v>
      </c>
      <c r="I70" s="146"/>
      <c r="J70" s="144" t="s">
        <v>163</v>
      </c>
      <c r="K70" s="146"/>
      <c r="L70" s="146"/>
      <c r="M70" s="148"/>
    </row>
    <row r="71" customFormat="false" ht="21" hidden="false" customHeight="true" outlineLevel="0" collapsed="false">
      <c r="A71" s="139" t="s">
        <v>909</v>
      </c>
      <c r="B71" s="140" t="s">
        <v>264</v>
      </c>
      <c r="C71" s="141" t="s">
        <v>176</v>
      </c>
      <c r="D71" s="139" t="s">
        <v>265</v>
      </c>
      <c r="E71" s="139" t="s">
        <v>266</v>
      </c>
      <c r="F71" s="139" t="s">
        <v>162</v>
      </c>
      <c r="G71" s="142" t="n">
        <v>45731</v>
      </c>
      <c r="H71" s="141" t="s">
        <v>36</v>
      </c>
      <c r="I71" s="141"/>
      <c r="J71" s="139" t="s">
        <v>163</v>
      </c>
      <c r="K71" s="141"/>
      <c r="L71" s="141"/>
      <c r="M71" s="143"/>
    </row>
    <row r="72" customFormat="false" ht="21" hidden="false" customHeight="true" outlineLevel="0" collapsed="false">
      <c r="A72" s="144" t="s">
        <v>909</v>
      </c>
      <c r="B72" s="145" t="s">
        <v>1718</v>
      </c>
      <c r="C72" s="146" t="s">
        <v>250</v>
      </c>
      <c r="D72" s="144" t="s">
        <v>1719</v>
      </c>
      <c r="E72" s="144" t="s">
        <v>1720</v>
      </c>
      <c r="F72" s="144" t="s">
        <v>162</v>
      </c>
      <c r="G72" s="147" t="n">
        <v>46205</v>
      </c>
      <c r="H72" s="146" t="s">
        <v>38</v>
      </c>
      <c r="I72" s="146"/>
      <c r="J72" s="144" t="s">
        <v>163</v>
      </c>
      <c r="K72" s="146"/>
      <c r="L72" s="146"/>
      <c r="M72" s="148"/>
    </row>
    <row r="73" customFormat="false" ht="21" hidden="false" customHeight="true" outlineLevel="0" collapsed="false">
      <c r="A73" s="139" t="s">
        <v>909</v>
      </c>
      <c r="B73" s="140" t="s">
        <v>268</v>
      </c>
      <c r="C73" s="141" t="s">
        <v>250</v>
      </c>
      <c r="D73" s="139" t="s">
        <v>269</v>
      </c>
      <c r="E73" s="139" t="s">
        <v>270</v>
      </c>
      <c r="F73" s="139" t="s">
        <v>162</v>
      </c>
      <c r="G73" s="142" t="n">
        <v>45585</v>
      </c>
      <c r="H73" s="141" t="s">
        <v>36</v>
      </c>
      <c r="I73" s="141"/>
      <c r="J73" s="139" t="s">
        <v>163</v>
      </c>
      <c r="K73" s="141"/>
      <c r="L73" s="141"/>
      <c r="M73" s="143"/>
    </row>
    <row r="74" customFormat="false" ht="21" hidden="false" customHeight="true" outlineLevel="0" collapsed="false">
      <c r="A74" s="144" t="s">
        <v>909</v>
      </c>
      <c r="B74" s="145" t="s">
        <v>677</v>
      </c>
      <c r="C74" s="146" t="s">
        <v>506</v>
      </c>
      <c r="D74" s="144" t="s">
        <v>1721</v>
      </c>
      <c r="E74" s="144" t="s">
        <v>679</v>
      </c>
      <c r="F74" s="144" t="s">
        <v>162</v>
      </c>
      <c r="G74" s="147" t="n">
        <v>45600</v>
      </c>
      <c r="H74" s="146" t="s">
        <v>38</v>
      </c>
      <c r="I74" s="146"/>
      <c r="J74" s="144" t="s">
        <v>163</v>
      </c>
      <c r="K74" s="146"/>
      <c r="L74" s="146"/>
      <c r="M74" s="148"/>
    </row>
    <row r="75" customFormat="false" ht="21" hidden="false" customHeight="true" outlineLevel="0" collapsed="false">
      <c r="A75" s="139" t="s">
        <v>909</v>
      </c>
      <c r="B75" s="140" t="s">
        <v>641</v>
      </c>
      <c r="C75" s="141" t="s">
        <v>506</v>
      </c>
      <c r="D75" s="139" t="s">
        <v>642</v>
      </c>
      <c r="E75" s="139" t="s">
        <v>643</v>
      </c>
      <c r="F75" s="139" t="s">
        <v>162</v>
      </c>
      <c r="G75" s="142" t="n">
        <v>45600</v>
      </c>
      <c r="H75" s="141" t="s">
        <v>38</v>
      </c>
      <c r="I75" s="141"/>
      <c r="J75" s="139" t="s">
        <v>163</v>
      </c>
      <c r="K75" s="141"/>
      <c r="L75" s="141"/>
      <c r="M75" s="143"/>
    </row>
    <row r="76" customFormat="false" ht="21" hidden="false" customHeight="true" outlineLevel="0" collapsed="false">
      <c r="A76" s="144" t="s">
        <v>909</v>
      </c>
      <c r="B76" s="145" t="s">
        <v>272</v>
      </c>
      <c r="C76" s="146" t="s">
        <v>506</v>
      </c>
      <c r="D76" s="144" t="s">
        <v>273</v>
      </c>
      <c r="E76" s="144" t="s">
        <v>274</v>
      </c>
      <c r="F76" s="144" t="s">
        <v>162</v>
      </c>
      <c r="G76" s="147" t="n">
        <v>46278</v>
      </c>
      <c r="H76" s="146" t="s">
        <v>36</v>
      </c>
      <c r="I76" s="146"/>
      <c r="J76" s="144" t="s">
        <v>163</v>
      </c>
      <c r="K76" s="146"/>
      <c r="L76" s="146"/>
      <c r="M76" s="148"/>
    </row>
    <row r="77" customFormat="false" ht="21" hidden="false" customHeight="true" outlineLevel="0" collapsed="false">
      <c r="A77" s="139" t="s">
        <v>909</v>
      </c>
      <c r="B77" s="140" t="s">
        <v>681</v>
      </c>
      <c r="C77" s="141" t="s">
        <v>506</v>
      </c>
      <c r="D77" s="139" t="s">
        <v>682</v>
      </c>
      <c r="E77" s="139" t="s">
        <v>683</v>
      </c>
      <c r="F77" s="139" t="s">
        <v>162</v>
      </c>
      <c r="G77" s="142" t="n">
        <v>45614</v>
      </c>
      <c r="H77" s="141" t="s">
        <v>38</v>
      </c>
      <c r="I77" s="141"/>
      <c r="J77" s="139" t="s">
        <v>163</v>
      </c>
      <c r="K77" s="141"/>
      <c r="L77" s="141"/>
      <c r="M77" s="143"/>
    </row>
    <row r="78" customFormat="false" ht="21" hidden="false" customHeight="true" outlineLevel="0" collapsed="false">
      <c r="A78" s="144" t="s">
        <v>909</v>
      </c>
      <c r="B78" s="145" t="s">
        <v>276</v>
      </c>
      <c r="C78" s="146" t="s">
        <v>250</v>
      </c>
      <c r="D78" s="144" t="s">
        <v>277</v>
      </c>
      <c r="E78" s="144" t="s">
        <v>278</v>
      </c>
      <c r="F78" s="144" t="s">
        <v>162</v>
      </c>
      <c r="G78" s="147" t="n">
        <v>45704</v>
      </c>
      <c r="H78" s="146" t="s">
        <v>36</v>
      </c>
      <c r="I78" s="146"/>
      <c r="J78" s="144" t="s">
        <v>163</v>
      </c>
      <c r="K78" s="144" t="s">
        <v>279</v>
      </c>
      <c r="L78" s="146"/>
      <c r="M78" s="148"/>
    </row>
    <row r="79" customFormat="false" ht="21" hidden="false" customHeight="true" outlineLevel="0" collapsed="false">
      <c r="A79" s="139" t="s">
        <v>909</v>
      </c>
      <c r="B79" s="140" t="s">
        <v>281</v>
      </c>
      <c r="C79" s="141" t="s">
        <v>250</v>
      </c>
      <c r="D79" s="139" t="s">
        <v>282</v>
      </c>
      <c r="E79" s="139" t="s">
        <v>283</v>
      </c>
      <c r="F79" s="139" t="s">
        <v>162</v>
      </c>
      <c r="G79" s="142" t="n">
        <v>46123</v>
      </c>
      <c r="H79" s="139" t="s">
        <v>111</v>
      </c>
      <c r="I79" s="141"/>
      <c r="J79" s="139" t="s">
        <v>163</v>
      </c>
      <c r="K79" s="141"/>
      <c r="L79" s="141"/>
      <c r="M79" s="143"/>
    </row>
    <row r="80" customFormat="false" ht="21" hidden="false" customHeight="true" outlineLevel="0" collapsed="false">
      <c r="A80" s="144" t="s">
        <v>909</v>
      </c>
      <c r="B80" s="145" t="s">
        <v>286</v>
      </c>
      <c r="C80" s="146" t="s">
        <v>250</v>
      </c>
      <c r="D80" s="144" t="s">
        <v>287</v>
      </c>
      <c r="E80" s="144" t="s">
        <v>288</v>
      </c>
      <c r="F80" s="144" t="s">
        <v>162</v>
      </c>
      <c r="G80" s="147" t="n">
        <v>45709</v>
      </c>
      <c r="H80" s="146" t="s">
        <v>36</v>
      </c>
      <c r="I80" s="146"/>
      <c r="J80" s="144" t="s">
        <v>163</v>
      </c>
      <c r="K80" s="144" t="s">
        <v>290</v>
      </c>
      <c r="L80" s="146"/>
      <c r="M80" s="148"/>
    </row>
    <row r="81" customFormat="false" ht="21" hidden="false" customHeight="true" outlineLevel="0" collapsed="false">
      <c r="A81" s="139" t="s">
        <v>909</v>
      </c>
      <c r="B81" s="140" t="s">
        <v>293</v>
      </c>
      <c r="C81" s="141" t="s">
        <v>250</v>
      </c>
      <c r="D81" s="139" t="s">
        <v>294</v>
      </c>
      <c r="E81" s="139" t="s">
        <v>295</v>
      </c>
      <c r="F81" s="139" t="s">
        <v>162</v>
      </c>
      <c r="G81" s="142" t="n">
        <v>46130</v>
      </c>
      <c r="H81" s="141" t="s">
        <v>36</v>
      </c>
      <c r="I81" s="141"/>
      <c r="J81" s="139" t="s">
        <v>163</v>
      </c>
      <c r="K81" s="141"/>
      <c r="L81" s="141"/>
      <c r="M81" s="143"/>
    </row>
    <row r="82" customFormat="false" ht="21" hidden="false" customHeight="true" outlineLevel="0" collapsed="false">
      <c r="A82" s="144" t="s">
        <v>909</v>
      </c>
      <c r="B82" s="145" t="s">
        <v>297</v>
      </c>
      <c r="C82" s="146" t="s">
        <v>506</v>
      </c>
      <c r="D82" s="144" t="s">
        <v>298</v>
      </c>
      <c r="E82" s="144" t="s">
        <v>299</v>
      </c>
      <c r="F82" s="144" t="s">
        <v>162</v>
      </c>
      <c r="G82" s="147" t="n">
        <v>46278</v>
      </c>
      <c r="H82" s="146" t="s">
        <v>36</v>
      </c>
      <c r="I82" s="146"/>
      <c r="J82" s="144" t="s">
        <v>163</v>
      </c>
      <c r="K82" s="146"/>
      <c r="L82" s="146"/>
      <c r="M82" s="148"/>
    </row>
    <row r="83" customFormat="false" ht="21" hidden="false" customHeight="true" outlineLevel="0" collapsed="false">
      <c r="A83" s="139" t="s">
        <v>909</v>
      </c>
      <c r="B83" s="140" t="s">
        <v>1722</v>
      </c>
      <c r="C83" s="141" t="s">
        <v>159</v>
      </c>
      <c r="D83" s="139" t="s">
        <v>303</v>
      </c>
      <c r="E83" s="139" t="s">
        <v>304</v>
      </c>
      <c r="F83" s="139" t="s">
        <v>162</v>
      </c>
      <c r="G83" s="142" t="n">
        <v>45914</v>
      </c>
      <c r="H83" s="141" t="s">
        <v>36</v>
      </c>
      <c r="I83" s="141"/>
      <c r="J83" s="139" t="s">
        <v>163</v>
      </c>
      <c r="K83" s="141"/>
      <c r="L83" s="141"/>
      <c r="M83" s="143"/>
    </row>
    <row r="84" customFormat="false" ht="21" hidden="false" customHeight="true" outlineLevel="0" collapsed="false">
      <c r="A84" s="144" t="s">
        <v>909</v>
      </c>
      <c r="B84" s="145" t="s">
        <v>306</v>
      </c>
      <c r="C84" s="146" t="s">
        <v>250</v>
      </c>
      <c r="D84" s="144" t="s">
        <v>307</v>
      </c>
      <c r="E84" s="144" t="s">
        <v>308</v>
      </c>
      <c r="F84" s="144" t="s">
        <v>162</v>
      </c>
      <c r="G84" s="147" t="n">
        <v>46042</v>
      </c>
      <c r="H84" s="146" t="s">
        <v>36</v>
      </c>
      <c r="I84" s="146"/>
      <c r="J84" s="144" t="s">
        <v>163</v>
      </c>
      <c r="K84" s="146"/>
      <c r="L84" s="146"/>
      <c r="M84" s="148"/>
    </row>
    <row r="85" customFormat="false" ht="21" hidden="false" customHeight="true" outlineLevel="0" collapsed="false">
      <c r="A85" s="139" t="s">
        <v>909</v>
      </c>
      <c r="B85" s="140" t="s">
        <v>312</v>
      </c>
      <c r="C85" s="141" t="s">
        <v>250</v>
      </c>
      <c r="D85" s="139" t="s">
        <v>313</v>
      </c>
      <c r="E85" s="139" t="s">
        <v>314</v>
      </c>
      <c r="F85" s="139" t="s">
        <v>162</v>
      </c>
      <c r="G85" s="142" t="n">
        <v>46130</v>
      </c>
      <c r="H85" s="141" t="s">
        <v>36</v>
      </c>
      <c r="I85" s="141"/>
      <c r="J85" s="139" t="s">
        <v>163</v>
      </c>
      <c r="K85" s="141"/>
      <c r="L85" s="141"/>
      <c r="M85" s="143"/>
    </row>
    <row r="86" customFormat="false" ht="21" hidden="false" customHeight="true" outlineLevel="0" collapsed="false">
      <c r="A86" s="144" t="s">
        <v>909</v>
      </c>
      <c r="B86" s="145" t="s">
        <v>316</v>
      </c>
      <c r="C86" s="146" t="s">
        <v>250</v>
      </c>
      <c r="D86" s="144" t="s">
        <v>317</v>
      </c>
      <c r="E86" s="144" t="s">
        <v>318</v>
      </c>
      <c r="F86" s="144" t="s">
        <v>162</v>
      </c>
      <c r="G86" s="147" t="n">
        <v>46205</v>
      </c>
      <c r="H86" s="146" t="s">
        <v>36</v>
      </c>
      <c r="I86" s="146"/>
      <c r="J86" s="144" t="s">
        <v>163</v>
      </c>
      <c r="K86" s="146"/>
      <c r="L86" s="146"/>
      <c r="M86" s="148"/>
    </row>
    <row r="87" customFormat="false" ht="21" hidden="false" customHeight="true" outlineLevel="0" collapsed="false">
      <c r="A87" s="139" t="s">
        <v>909</v>
      </c>
      <c r="B87" s="140" t="s">
        <v>320</v>
      </c>
      <c r="C87" s="141" t="s">
        <v>250</v>
      </c>
      <c r="D87" s="139" t="s">
        <v>321</v>
      </c>
      <c r="E87" s="139" t="s">
        <v>322</v>
      </c>
      <c r="F87" s="139" t="s">
        <v>162</v>
      </c>
      <c r="G87" s="142" t="n">
        <v>45731</v>
      </c>
      <c r="H87" s="141" t="s">
        <v>36</v>
      </c>
      <c r="I87" s="141"/>
      <c r="J87" s="139" t="s">
        <v>163</v>
      </c>
      <c r="K87" s="139" t="s">
        <v>323</v>
      </c>
      <c r="L87" s="141"/>
      <c r="M87" s="143"/>
    </row>
    <row r="88" customFormat="false" ht="21" hidden="false" customHeight="true" outlineLevel="0" collapsed="false">
      <c r="A88" s="144" t="s">
        <v>909</v>
      </c>
      <c r="B88" s="145" t="s">
        <v>325</v>
      </c>
      <c r="C88" s="146" t="s">
        <v>250</v>
      </c>
      <c r="D88" s="144" t="s">
        <v>326</v>
      </c>
      <c r="E88" s="144" t="s">
        <v>327</v>
      </c>
      <c r="F88" s="144" t="s">
        <v>162</v>
      </c>
      <c r="G88" s="147" t="n">
        <v>45706</v>
      </c>
      <c r="H88" s="146" t="s">
        <v>36</v>
      </c>
      <c r="I88" s="146"/>
      <c r="J88" s="144" t="s">
        <v>163</v>
      </c>
      <c r="K88" s="146"/>
      <c r="L88" s="146"/>
      <c r="M88" s="148"/>
    </row>
    <row r="89" customFormat="false" ht="21" hidden="false" customHeight="true" outlineLevel="0" collapsed="false">
      <c r="A89" s="139" t="s">
        <v>909</v>
      </c>
      <c r="B89" s="140" t="s">
        <v>329</v>
      </c>
      <c r="C89" s="141" t="s">
        <v>176</v>
      </c>
      <c r="D89" s="139" t="s">
        <v>330</v>
      </c>
      <c r="E89" s="139" t="s">
        <v>331</v>
      </c>
      <c r="F89" s="139" t="s">
        <v>162</v>
      </c>
      <c r="G89" s="142" t="n">
        <v>45776</v>
      </c>
      <c r="H89" s="141" t="s">
        <v>36</v>
      </c>
      <c r="I89" s="141"/>
      <c r="J89" s="139" t="s">
        <v>163</v>
      </c>
      <c r="K89" s="141"/>
      <c r="L89" s="141"/>
      <c r="M89" s="143"/>
    </row>
    <row r="90" customFormat="false" ht="21" hidden="false" customHeight="true" outlineLevel="0" collapsed="false">
      <c r="A90" s="144" t="s">
        <v>909</v>
      </c>
      <c r="B90" s="145" t="s">
        <v>333</v>
      </c>
      <c r="C90" s="146" t="s">
        <v>176</v>
      </c>
      <c r="D90" s="144" t="s">
        <v>334</v>
      </c>
      <c r="E90" s="144" t="s">
        <v>335</v>
      </c>
      <c r="F90" s="144" t="s">
        <v>162</v>
      </c>
      <c r="G90" s="147" t="n">
        <v>45914</v>
      </c>
      <c r="H90" s="146" t="s">
        <v>36</v>
      </c>
      <c r="I90" s="146"/>
      <c r="J90" s="144" t="s">
        <v>163</v>
      </c>
      <c r="K90" s="146"/>
      <c r="L90" s="146"/>
      <c r="M90" s="148"/>
    </row>
    <row r="91" customFormat="false" ht="21" hidden="false" customHeight="true" outlineLevel="0" collapsed="false">
      <c r="A91" s="139" t="s">
        <v>909</v>
      </c>
      <c r="B91" s="140" t="s">
        <v>337</v>
      </c>
      <c r="C91" s="141" t="s">
        <v>176</v>
      </c>
      <c r="D91" s="139" t="s">
        <v>338</v>
      </c>
      <c r="E91" s="139" t="s">
        <v>339</v>
      </c>
      <c r="F91" s="139" t="s">
        <v>162</v>
      </c>
      <c r="G91" s="142" t="n">
        <v>45914</v>
      </c>
      <c r="H91" s="141" t="s">
        <v>36</v>
      </c>
      <c r="I91" s="141"/>
      <c r="J91" s="139" t="s">
        <v>163</v>
      </c>
      <c r="K91" s="141"/>
      <c r="L91" s="141"/>
      <c r="M91" s="143"/>
    </row>
    <row r="92" customFormat="false" ht="21" hidden="false" customHeight="true" outlineLevel="0" collapsed="false">
      <c r="A92" s="144" t="s">
        <v>909</v>
      </c>
      <c r="B92" s="145" t="s">
        <v>341</v>
      </c>
      <c r="C92" s="146" t="s">
        <v>250</v>
      </c>
      <c r="D92" s="144" t="s">
        <v>342</v>
      </c>
      <c r="E92" s="144" t="s">
        <v>343</v>
      </c>
      <c r="F92" s="144" t="s">
        <v>162</v>
      </c>
      <c r="G92" s="147" t="n">
        <v>45950</v>
      </c>
      <c r="H92" s="146" t="s">
        <v>36</v>
      </c>
      <c r="I92" s="146"/>
      <c r="J92" s="144" t="s">
        <v>163</v>
      </c>
      <c r="K92" s="146"/>
      <c r="L92" s="146"/>
      <c r="M92" s="148"/>
    </row>
    <row r="93" customFormat="false" ht="21" hidden="false" customHeight="true" outlineLevel="0" collapsed="false">
      <c r="A93" s="139" t="s">
        <v>909</v>
      </c>
      <c r="B93" s="140" t="s">
        <v>345</v>
      </c>
      <c r="C93" s="141" t="s">
        <v>176</v>
      </c>
      <c r="D93" s="139" t="s">
        <v>346</v>
      </c>
      <c r="E93" s="139" t="s">
        <v>347</v>
      </c>
      <c r="F93" s="139" t="s">
        <v>162</v>
      </c>
      <c r="G93" s="142" t="n">
        <v>45914</v>
      </c>
      <c r="H93" s="141" t="s">
        <v>36</v>
      </c>
      <c r="I93" s="141"/>
      <c r="J93" s="139" t="s">
        <v>163</v>
      </c>
      <c r="K93" s="141"/>
      <c r="L93" s="141"/>
      <c r="M93" s="143"/>
    </row>
    <row r="94" customFormat="false" ht="21" hidden="false" customHeight="true" outlineLevel="0" collapsed="false">
      <c r="A94" s="144" t="s">
        <v>909</v>
      </c>
      <c r="B94" s="145" t="s">
        <v>349</v>
      </c>
      <c r="C94" s="146" t="s">
        <v>159</v>
      </c>
      <c r="D94" s="144" t="s">
        <v>350</v>
      </c>
      <c r="E94" s="144" t="s">
        <v>351</v>
      </c>
      <c r="F94" s="144" t="s">
        <v>162</v>
      </c>
      <c r="G94" s="147" t="n">
        <v>45704</v>
      </c>
      <c r="H94" s="146" t="s">
        <v>36</v>
      </c>
      <c r="I94" s="146"/>
      <c r="J94" s="144" t="s">
        <v>163</v>
      </c>
      <c r="K94" s="144" t="s">
        <v>910</v>
      </c>
      <c r="L94" s="146"/>
      <c r="M94" s="148"/>
    </row>
    <row r="95" customFormat="false" ht="21" hidden="false" customHeight="true" outlineLevel="0" collapsed="false">
      <c r="A95" s="139" t="s">
        <v>909</v>
      </c>
      <c r="B95" s="140" t="s">
        <v>599</v>
      </c>
      <c r="C95" s="141" t="s">
        <v>302</v>
      </c>
      <c r="D95" s="139" t="s">
        <v>1723</v>
      </c>
      <c r="E95" s="139" t="s">
        <v>1724</v>
      </c>
      <c r="F95" s="139" t="s">
        <v>162</v>
      </c>
      <c r="G95" s="142" t="n">
        <v>46123</v>
      </c>
      <c r="H95" s="141" t="s">
        <v>38</v>
      </c>
      <c r="I95" s="141"/>
      <c r="J95" s="139" t="s">
        <v>163</v>
      </c>
      <c r="K95" s="141"/>
      <c r="L95" s="141"/>
      <c r="M95" s="143"/>
    </row>
    <row r="96" customFormat="false" ht="21" hidden="false" customHeight="true" outlineLevel="0" collapsed="false">
      <c r="A96" s="144" t="s">
        <v>909</v>
      </c>
      <c r="B96" s="145" t="s">
        <v>668</v>
      </c>
      <c r="C96" s="146" t="s">
        <v>302</v>
      </c>
      <c r="D96" s="144" t="s">
        <v>1725</v>
      </c>
      <c r="E96" s="144" t="s">
        <v>1726</v>
      </c>
      <c r="F96" s="144" t="s">
        <v>162</v>
      </c>
      <c r="G96" s="147" t="n">
        <v>46205</v>
      </c>
      <c r="H96" s="146" t="s">
        <v>38</v>
      </c>
      <c r="I96" s="146"/>
      <c r="J96" s="144" t="s">
        <v>163</v>
      </c>
      <c r="K96" s="146"/>
      <c r="L96" s="146"/>
      <c r="M96" s="148"/>
    </row>
    <row r="97" customFormat="false" ht="21" hidden="false" customHeight="true" outlineLevel="0" collapsed="false">
      <c r="A97" s="139" t="s">
        <v>909</v>
      </c>
      <c r="B97" s="140" t="s">
        <v>354</v>
      </c>
      <c r="C97" s="141" t="s">
        <v>600</v>
      </c>
      <c r="D97" s="139" t="s">
        <v>355</v>
      </c>
      <c r="E97" s="139" t="s">
        <v>356</v>
      </c>
      <c r="F97" s="139" t="s">
        <v>162</v>
      </c>
      <c r="G97" s="142" t="n">
        <v>45585</v>
      </c>
      <c r="H97" s="139" t="s">
        <v>111</v>
      </c>
      <c r="I97" s="141"/>
      <c r="J97" s="139" t="s">
        <v>163</v>
      </c>
      <c r="K97" s="141"/>
      <c r="L97" s="141"/>
      <c r="M97" s="143"/>
    </row>
    <row r="98" customFormat="false" ht="21" hidden="false" customHeight="true" outlineLevel="0" collapsed="false">
      <c r="A98" s="144" t="s">
        <v>909</v>
      </c>
      <c r="B98" s="145" t="s">
        <v>655</v>
      </c>
      <c r="C98" s="146" t="s">
        <v>250</v>
      </c>
      <c r="D98" s="144" t="s">
        <v>656</v>
      </c>
      <c r="E98" s="144" t="s">
        <v>1727</v>
      </c>
      <c r="F98" s="144" t="s">
        <v>162</v>
      </c>
      <c r="G98" s="147" t="n">
        <v>46132</v>
      </c>
      <c r="H98" s="146" t="s">
        <v>38</v>
      </c>
      <c r="I98" s="146"/>
      <c r="J98" s="144" t="s">
        <v>163</v>
      </c>
      <c r="K98" s="146"/>
      <c r="L98" s="146"/>
      <c r="M98" s="148"/>
    </row>
    <row r="99" customFormat="false" ht="21" hidden="false" customHeight="true" outlineLevel="0" collapsed="false">
      <c r="A99" s="139" t="s">
        <v>909</v>
      </c>
      <c r="B99" s="140" t="s">
        <v>622</v>
      </c>
      <c r="C99" s="141" t="s">
        <v>506</v>
      </c>
      <c r="D99" s="139" t="s">
        <v>623</v>
      </c>
      <c r="E99" s="139" t="s">
        <v>1728</v>
      </c>
      <c r="F99" s="139" t="s">
        <v>162</v>
      </c>
      <c r="G99" s="142" t="n">
        <v>46042</v>
      </c>
      <c r="H99" s="141" t="s">
        <v>38</v>
      </c>
      <c r="I99" s="141"/>
      <c r="J99" s="139" t="s">
        <v>163</v>
      </c>
      <c r="K99" s="141"/>
      <c r="L99" s="141"/>
      <c r="M99" s="143"/>
    </row>
    <row r="100" customFormat="false" ht="21" hidden="false" customHeight="true" outlineLevel="0" collapsed="false">
      <c r="A100" s="144" t="s">
        <v>909</v>
      </c>
      <c r="B100" s="145" t="s">
        <v>505</v>
      </c>
      <c r="C100" s="146" t="s">
        <v>600</v>
      </c>
      <c r="D100" s="144" t="s">
        <v>507</v>
      </c>
      <c r="E100" s="144" t="s">
        <v>508</v>
      </c>
      <c r="F100" s="144" t="s">
        <v>162</v>
      </c>
      <c r="G100" s="147" t="n">
        <v>46278</v>
      </c>
      <c r="H100" s="146" t="s">
        <v>107</v>
      </c>
      <c r="I100" s="146"/>
      <c r="J100" s="144" t="s">
        <v>163</v>
      </c>
      <c r="K100" s="144" t="s">
        <v>509</v>
      </c>
      <c r="L100" s="146"/>
      <c r="M100" s="148"/>
    </row>
    <row r="101" customFormat="false" ht="21" hidden="false" customHeight="true" outlineLevel="0" collapsed="false">
      <c r="A101" s="139" t="s">
        <v>909</v>
      </c>
      <c r="B101" s="140" t="s">
        <v>511</v>
      </c>
      <c r="C101" s="141" t="s">
        <v>250</v>
      </c>
      <c r="D101" s="139" t="s">
        <v>512</v>
      </c>
      <c r="E101" s="139" t="s">
        <v>513</v>
      </c>
      <c r="F101" s="139" t="s">
        <v>162</v>
      </c>
      <c r="G101" s="142" t="n">
        <v>45723</v>
      </c>
      <c r="H101" s="141" t="s">
        <v>107</v>
      </c>
      <c r="I101" s="141"/>
      <c r="J101" s="139" t="s">
        <v>163</v>
      </c>
      <c r="K101" s="141"/>
      <c r="L101" s="141"/>
      <c r="M101" s="143"/>
    </row>
    <row r="102" customFormat="false" ht="21" hidden="false" customHeight="true" outlineLevel="0" collapsed="false">
      <c r="A102" s="144" t="s">
        <v>909</v>
      </c>
      <c r="B102" s="145" t="s">
        <v>358</v>
      </c>
      <c r="C102" s="146" t="s">
        <v>1729</v>
      </c>
      <c r="D102" s="144" t="s">
        <v>359</v>
      </c>
      <c r="E102" s="144" t="s">
        <v>360</v>
      </c>
      <c r="F102" s="144" t="s">
        <v>361</v>
      </c>
      <c r="G102" s="147" t="n">
        <v>45411</v>
      </c>
      <c r="H102" s="146" t="s">
        <v>36</v>
      </c>
      <c r="I102" s="146"/>
      <c r="J102" s="144" t="s">
        <v>1730</v>
      </c>
      <c r="K102" s="144" t="s">
        <v>362</v>
      </c>
      <c r="L102" s="146"/>
      <c r="M102" s="148"/>
    </row>
    <row r="103" customFormat="false" ht="21" hidden="false" customHeight="true" outlineLevel="0" collapsed="false">
      <c r="A103" s="139" t="s">
        <v>909</v>
      </c>
      <c r="B103" s="140" t="s">
        <v>369</v>
      </c>
      <c r="C103" s="141" t="s">
        <v>250</v>
      </c>
      <c r="D103" s="139" t="s">
        <v>370</v>
      </c>
      <c r="E103" s="139" t="s">
        <v>371</v>
      </c>
      <c r="F103" s="139" t="s">
        <v>162</v>
      </c>
      <c r="G103" s="142" t="n">
        <v>45585</v>
      </c>
      <c r="H103" s="141"/>
      <c r="I103" s="141"/>
      <c r="J103" s="139" t="s">
        <v>163</v>
      </c>
      <c r="K103" s="141"/>
      <c r="L103" s="141"/>
      <c r="M103" s="143"/>
    </row>
    <row r="104" customFormat="false" ht="21" hidden="false" customHeight="true" outlineLevel="0" collapsed="false">
      <c r="A104" s="144" t="s">
        <v>909</v>
      </c>
      <c r="B104" s="145" t="s">
        <v>515</v>
      </c>
      <c r="C104" s="146" t="s">
        <v>159</v>
      </c>
      <c r="D104" s="144" t="s">
        <v>516</v>
      </c>
      <c r="E104" s="144" t="s">
        <v>1731</v>
      </c>
      <c r="F104" s="144" t="s">
        <v>162</v>
      </c>
      <c r="G104" s="147" t="n">
        <v>46123</v>
      </c>
      <c r="H104" s="146" t="s">
        <v>107</v>
      </c>
      <c r="I104" s="146"/>
      <c r="J104" s="144" t="s">
        <v>163</v>
      </c>
      <c r="K104" s="144" t="s">
        <v>518</v>
      </c>
      <c r="L104" s="146"/>
      <c r="M104" s="148"/>
    </row>
    <row r="105" customFormat="false" ht="21" hidden="false" customHeight="true" outlineLevel="0" collapsed="false">
      <c r="A105" s="139" t="s">
        <v>909</v>
      </c>
      <c r="B105" s="140" t="s">
        <v>663</v>
      </c>
      <c r="C105" s="141" t="s">
        <v>191</v>
      </c>
      <c r="D105" s="139" t="s">
        <v>665</v>
      </c>
      <c r="E105" s="139" t="s">
        <v>1732</v>
      </c>
      <c r="F105" s="139" t="s">
        <v>162</v>
      </c>
      <c r="G105" s="142" t="n">
        <v>46123</v>
      </c>
      <c r="H105" s="141" t="s">
        <v>38</v>
      </c>
      <c r="I105" s="141"/>
      <c r="J105" s="139" t="s">
        <v>163</v>
      </c>
      <c r="K105" s="141"/>
      <c r="L105" s="141"/>
      <c r="M105" s="143"/>
    </row>
    <row r="106" customFormat="false" ht="21" hidden="false" customHeight="true" outlineLevel="0" collapsed="false">
      <c r="A106" s="144" t="s">
        <v>909</v>
      </c>
      <c r="B106" s="145" t="s">
        <v>376</v>
      </c>
      <c r="C106" s="146" t="s">
        <v>176</v>
      </c>
      <c r="D106" s="144" t="s">
        <v>377</v>
      </c>
      <c r="E106" s="144" t="s">
        <v>378</v>
      </c>
      <c r="F106" s="144" t="s">
        <v>162</v>
      </c>
      <c r="G106" s="147" t="n">
        <v>45983</v>
      </c>
      <c r="H106" s="146" t="s">
        <v>36</v>
      </c>
      <c r="I106" s="144" t="s">
        <v>309</v>
      </c>
      <c r="J106" s="144" t="s">
        <v>310</v>
      </c>
      <c r="K106" s="144" t="s">
        <v>380</v>
      </c>
      <c r="L106" s="146"/>
      <c r="M106" s="148"/>
    </row>
    <row r="107" customFormat="false" ht="21" hidden="false" customHeight="true" outlineLevel="0" collapsed="false">
      <c r="A107" s="139" t="s">
        <v>909</v>
      </c>
      <c r="B107" s="140" t="s">
        <v>382</v>
      </c>
      <c r="C107" s="141" t="s">
        <v>159</v>
      </c>
      <c r="D107" s="139" t="s">
        <v>383</v>
      </c>
      <c r="E107" s="139" t="s">
        <v>384</v>
      </c>
      <c r="F107" s="139" t="s">
        <v>162</v>
      </c>
      <c r="G107" s="142" t="n">
        <v>46059</v>
      </c>
      <c r="H107" s="141" t="s">
        <v>36</v>
      </c>
      <c r="I107" s="139" t="s">
        <v>309</v>
      </c>
      <c r="J107" s="139" t="s">
        <v>310</v>
      </c>
      <c r="K107" s="139" t="s">
        <v>385</v>
      </c>
      <c r="L107" s="141"/>
      <c r="M107" s="143"/>
    </row>
    <row r="108" customFormat="false" ht="21" hidden="false" customHeight="true" outlineLevel="0" collapsed="false">
      <c r="A108" s="144" t="s">
        <v>909</v>
      </c>
      <c r="B108" s="145" t="s">
        <v>1733</v>
      </c>
      <c r="C108" s="146" t="s">
        <v>250</v>
      </c>
      <c r="D108" s="144" t="s">
        <v>521</v>
      </c>
      <c r="E108" s="144" t="s">
        <v>1734</v>
      </c>
      <c r="F108" s="144" t="s">
        <v>162</v>
      </c>
      <c r="G108" s="147" t="n">
        <v>46129</v>
      </c>
      <c r="H108" s="146" t="s">
        <v>109</v>
      </c>
      <c r="I108" s="144" t="s">
        <v>309</v>
      </c>
      <c r="J108" s="144" t="s">
        <v>1735</v>
      </c>
      <c r="K108" s="146"/>
      <c r="L108" s="146"/>
      <c r="M108" s="148"/>
    </row>
    <row r="109" customFormat="false" ht="21" hidden="false" customHeight="true" outlineLevel="0" collapsed="false">
      <c r="A109" s="139" t="s">
        <v>909</v>
      </c>
      <c r="B109" s="140" t="s">
        <v>387</v>
      </c>
      <c r="C109" s="141" t="s">
        <v>250</v>
      </c>
      <c r="D109" s="139" t="s">
        <v>388</v>
      </c>
      <c r="E109" s="139" t="s">
        <v>389</v>
      </c>
      <c r="F109" s="139" t="s">
        <v>162</v>
      </c>
      <c r="G109" s="142" t="n">
        <v>46266</v>
      </c>
      <c r="H109" s="141" t="s">
        <v>36</v>
      </c>
      <c r="I109" s="139" t="s">
        <v>309</v>
      </c>
      <c r="J109" s="139" t="s">
        <v>1736</v>
      </c>
      <c r="K109" s="139" t="s">
        <v>392</v>
      </c>
      <c r="L109" s="141"/>
      <c r="M109" s="143"/>
    </row>
    <row r="110" customFormat="false" ht="21" hidden="false" customHeight="true" outlineLevel="0" collapsed="false">
      <c r="A110" s="144" t="s">
        <v>909</v>
      </c>
      <c r="B110" s="145" t="s">
        <v>394</v>
      </c>
      <c r="C110" s="146" t="s">
        <v>250</v>
      </c>
      <c r="D110" s="144" t="s">
        <v>395</v>
      </c>
      <c r="E110" s="144" t="s">
        <v>396</v>
      </c>
      <c r="F110" s="144" t="s">
        <v>162</v>
      </c>
      <c r="G110" s="147" t="n">
        <v>45712</v>
      </c>
      <c r="H110" s="146" t="s">
        <v>36</v>
      </c>
      <c r="I110" s="144" t="s">
        <v>309</v>
      </c>
      <c r="J110" s="144" t="s">
        <v>310</v>
      </c>
      <c r="K110" s="144" t="s">
        <v>397</v>
      </c>
      <c r="L110" s="146"/>
      <c r="M110" s="148"/>
    </row>
    <row r="111" customFormat="false" ht="21" hidden="false" customHeight="true" outlineLevel="0" collapsed="false">
      <c r="A111" s="139" t="s">
        <v>909</v>
      </c>
      <c r="B111" s="140" t="s">
        <v>524</v>
      </c>
      <c r="C111" s="141" t="s">
        <v>1737</v>
      </c>
      <c r="D111" s="139" t="s">
        <v>526</v>
      </c>
      <c r="E111" s="139" t="s">
        <v>527</v>
      </c>
      <c r="F111" s="139" t="s">
        <v>162</v>
      </c>
      <c r="G111" s="142" t="n">
        <v>46069</v>
      </c>
      <c r="H111" s="141" t="s">
        <v>107</v>
      </c>
      <c r="I111" s="139" t="s">
        <v>309</v>
      </c>
      <c r="J111" s="139" t="s">
        <v>528</v>
      </c>
      <c r="K111" s="141"/>
      <c r="L111" s="141"/>
      <c r="M111" s="143"/>
    </row>
    <row r="112" customFormat="false" ht="21" hidden="false" customHeight="true" outlineLevel="0" collapsed="false">
      <c r="A112" s="144" t="s">
        <v>909</v>
      </c>
      <c r="B112" s="145" t="s">
        <v>530</v>
      </c>
      <c r="C112" s="146" t="s">
        <v>664</v>
      </c>
      <c r="D112" s="144" t="s">
        <v>532</v>
      </c>
      <c r="E112" s="144" t="s">
        <v>533</v>
      </c>
      <c r="F112" s="144" t="s">
        <v>162</v>
      </c>
      <c r="G112" s="147" t="n">
        <v>46150</v>
      </c>
      <c r="H112" s="146" t="s">
        <v>109</v>
      </c>
      <c r="I112" s="144" t="s">
        <v>309</v>
      </c>
      <c r="J112" s="144" t="s">
        <v>528</v>
      </c>
      <c r="K112" s="146"/>
      <c r="L112" s="146"/>
      <c r="M112" s="148"/>
    </row>
    <row r="113" customFormat="false" ht="21" hidden="false" customHeight="true" outlineLevel="0" collapsed="false">
      <c r="A113" s="139" t="s">
        <v>909</v>
      </c>
      <c r="B113" s="140" t="s">
        <v>1215</v>
      </c>
      <c r="C113" s="141" t="s">
        <v>302</v>
      </c>
      <c r="D113" s="139" t="s">
        <v>1216</v>
      </c>
      <c r="E113" s="139" t="s">
        <v>1217</v>
      </c>
      <c r="F113" s="139" t="s">
        <v>162</v>
      </c>
      <c r="G113" s="142" t="n">
        <v>45523</v>
      </c>
      <c r="H113" s="139" t="s">
        <v>108</v>
      </c>
      <c r="I113" s="139" t="s">
        <v>309</v>
      </c>
      <c r="J113" s="139" t="s">
        <v>1738</v>
      </c>
      <c r="K113" s="141"/>
      <c r="L113" s="141"/>
      <c r="M113" s="143"/>
    </row>
    <row r="114" customFormat="false" ht="21" hidden="false" customHeight="true" outlineLevel="0" collapsed="false">
      <c r="A114" s="144" t="s">
        <v>909</v>
      </c>
      <c r="B114" s="145" t="s">
        <v>399</v>
      </c>
      <c r="C114" s="146" t="s">
        <v>159</v>
      </c>
      <c r="D114" s="144" t="s">
        <v>400</v>
      </c>
      <c r="E114" s="144" t="s">
        <v>401</v>
      </c>
      <c r="F114" s="144" t="s">
        <v>162</v>
      </c>
      <c r="G114" s="147" t="n">
        <v>45984</v>
      </c>
      <c r="H114" s="146" t="s">
        <v>36</v>
      </c>
      <c r="I114" s="144" t="s">
        <v>309</v>
      </c>
      <c r="J114" s="144" t="s">
        <v>310</v>
      </c>
      <c r="K114" s="144" t="s">
        <v>402</v>
      </c>
      <c r="L114" s="146"/>
      <c r="M114" s="148"/>
    </row>
    <row r="115" customFormat="false" ht="21" hidden="false" customHeight="true" outlineLevel="0" collapsed="false">
      <c r="A115" s="139" t="s">
        <v>909</v>
      </c>
      <c r="B115" s="140" t="s">
        <v>404</v>
      </c>
      <c r="C115" s="141" t="s">
        <v>176</v>
      </c>
      <c r="D115" s="139" t="s">
        <v>405</v>
      </c>
      <c r="E115" s="139" t="s">
        <v>406</v>
      </c>
      <c r="F115" s="139" t="s">
        <v>162</v>
      </c>
      <c r="G115" s="142" t="n">
        <v>45983</v>
      </c>
      <c r="H115" s="141" t="s">
        <v>36</v>
      </c>
      <c r="I115" s="139" t="s">
        <v>309</v>
      </c>
      <c r="J115" s="139" t="s">
        <v>310</v>
      </c>
      <c r="K115" s="139" t="s">
        <v>407</v>
      </c>
      <c r="L115" s="141"/>
      <c r="M115" s="143"/>
    </row>
    <row r="116" customFormat="false" ht="21" hidden="false" customHeight="true" outlineLevel="0" collapsed="false">
      <c r="A116" s="144" t="s">
        <v>909</v>
      </c>
      <c r="B116" s="145" t="s">
        <v>409</v>
      </c>
      <c r="C116" s="146" t="s">
        <v>176</v>
      </c>
      <c r="D116" s="144" t="s">
        <v>410</v>
      </c>
      <c r="E116" s="144" t="s">
        <v>411</v>
      </c>
      <c r="F116" s="144" t="s">
        <v>162</v>
      </c>
      <c r="G116" s="147" t="n">
        <v>46159</v>
      </c>
      <c r="H116" s="146" t="s">
        <v>36</v>
      </c>
      <c r="I116" s="144" t="s">
        <v>309</v>
      </c>
      <c r="J116" s="144" t="s">
        <v>1739</v>
      </c>
      <c r="K116" s="146"/>
      <c r="L116" s="146"/>
      <c r="M116" s="148"/>
    </row>
    <row r="117" customFormat="false" ht="21" hidden="false" customHeight="true" outlineLevel="0" collapsed="false">
      <c r="A117" s="139" t="s">
        <v>909</v>
      </c>
      <c r="B117" s="140" t="s">
        <v>414</v>
      </c>
      <c r="C117" s="141" t="s">
        <v>250</v>
      </c>
      <c r="D117" s="139" t="s">
        <v>415</v>
      </c>
      <c r="E117" s="139" t="s">
        <v>416</v>
      </c>
      <c r="F117" s="139" t="s">
        <v>162</v>
      </c>
      <c r="G117" s="142" t="n">
        <v>45362</v>
      </c>
      <c r="H117" s="141" t="s">
        <v>36</v>
      </c>
      <c r="I117" s="139" t="s">
        <v>309</v>
      </c>
      <c r="J117" s="139" t="s">
        <v>310</v>
      </c>
      <c r="K117" s="139" t="s">
        <v>417</v>
      </c>
      <c r="L117" s="141"/>
      <c r="M117" s="143"/>
    </row>
    <row r="118" customFormat="false" ht="21" hidden="false" customHeight="true" outlineLevel="0" collapsed="false">
      <c r="A118" s="144" t="s">
        <v>909</v>
      </c>
      <c r="B118" s="145" t="s">
        <v>419</v>
      </c>
      <c r="C118" s="146" t="s">
        <v>159</v>
      </c>
      <c r="D118" s="144" t="s">
        <v>420</v>
      </c>
      <c r="E118" s="144" t="s">
        <v>421</v>
      </c>
      <c r="F118" s="144" t="s">
        <v>162</v>
      </c>
      <c r="G118" s="147" t="n">
        <v>45661</v>
      </c>
      <c r="H118" s="146" t="s">
        <v>36</v>
      </c>
      <c r="I118" s="144" t="s">
        <v>309</v>
      </c>
      <c r="J118" s="144" t="s">
        <v>310</v>
      </c>
      <c r="K118" s="144" t="s">
        <v>422</v>
      </c>
      <c r="L118" s="146"/>
      <c r="M118" s="148"/>
    </row>
    <row r="119" customFormat="false" ht="21" hidden="false" customHeight="true" outlineLevel="0" collapsed="false">
      <c r="A119" s="139" t="s">
        <v>909</v>
      </c>
      <c r="B119" s="140" t="s">
        <v>424</v>
      </c>
      <c r="C119" s="141" t="s">
        <v>250</v>
      </c>
      <c r="D119" s="139" t="s">
        <v>425</v>
      </c>
      <c r="E119" s="139" t="s">
        <v>426</v>
      </c>
      <c r="F119" s="139" t="s">
        <v>162</v>
      </c>
      <c r="G119" s="142" t="n">
        <v>45936</v>
      </c>
      <c r="H119" s="141" t="s">
        <v>36</v>
      </c>
      <c r="I119" s="139" t="s">
        <v>309</v>
      </c>
      <c r="J119" s="139" t="s">
        <v>310</v>
      </c>
      <c r="K119" s="141"/>
      <c r="L119" s="141"/>
      <c r="M119" s="143"/>
    </row>
    <row r="120" customFormat="false" ht="21" hidden="false" customHeight="true" outlineLevel="0" collapsed="false">
      <c r="A120" s="144" t="s">
        <v>909</v>
      </c>
      <c r="B120" s="145" t="s">
        <v>429</v>
      </c>
      <c r="C120" s="146" t="s">
        <v>159</v>
      </c>
      <c r="D120" s="144" t="s">
        <v>430</v>
      </c>
      <c r="E120" s="144" t="s">
        <v>431</v>
      </c>
      <c r="F120" s="144" t="s">
        <v>162</v>
      </c>
      <c r="G120" s="147" t="n">
        <v>46095</v>
      </c>
      <c r="H120" s="146" t="s">
        <v>36</v>
      </c>
      <c r="I120" s="144" t="s">
        <v>309</v>
      </c>
      <c r="J120" s="144" t="s">
        <v>310</v>
      </c>
      <c r="K120" s="144" t="s">
        <v>432</v>
      </c>
      <c r="L120" s="146"/>
      <c r="M120" s="148"/>
    </row>
    <row r="121" customFormat="false" ht="21" hidden="false" customHeight="true" outlineLevel="0" collapsed="false">
      <c r="A121" s="139" t="s">
        <v>909</v>
      </c>
      <c r="B121" s="140" t="s">
        <v>434</v>
      </c>
      <c r="C121" s="141" t="s">
        <v>159</v>
      </c>
      <c r="D121" s="139" t="s">
        <v>435</v>
      </c>
      <c r="E121" s="139" t="s">
        <v>436</v>
      </c>
      <c r="F121" s="139" t="s">
        <v>162</v>
      </c>
      <c r="G121" s="142" t="n">
        <v>46028</v>
      </c>
      <c r="H121" s="141" t="s">
        <v>36</v>
      </c>
      <c r="I121" s="139" t="s">
        <v>309</v>
      </c>
      <c r="J121" s="139" t="s">
        <v>1740</v>
      </c>
      <c r="K121" s="141"/>
      <c r="L121" s="141"/>
      <c r="M121" s="143"/>
    </row>
    <row r="122" customFormat="false" ht="21" hidden="false" customHeight="true" outlineLevel="0" collapsed="false">
      <c r="A122" s="144" t="s">
        <v>909</v>
      </c>
      <c r="B122" s="145" t="s">
        <v>535</v>
      </c>
      <c r="C122" s="146" t="s">
        <v>1741</v>
      </c>
      <c r="D122" s="144" t="s">
        <v>536</v>
      </c>
      <c r="E122" s="144" t="s">
        <v>537</v>
      </c>
      <c r="F122" s="144" t="s">
        <v>361</v>
      </c>
      <c r="G122" s="147" t="n">
        <v>45159</v>
      </c>
      <c r="H122" s="146" t="s">
        <v>109</v>
      </c>
      <c r="I122" s="144" t="s">
        <v>309</v>
      </c>
      <c r="J122" s="144" t="s">
        <v>538</v>
      </c>
      <c r="K122" s="146"/>
      <c r="L122" s="146"/>
      <c r="M122" s="148"/>
    </row>
    <row r="123" customFormat="false" ht="21" hidden="false" customHeight="true" outlineLevel="0" collapsed="false">
      <c r="A123" s="139" t="s">
        <v>909</v>
      </c>
      <c r="B123" s="140" t="s">
        <v>540</v>
      </c>
      <c r="C123" s="141" t="s">
        <v>250</v>
      </c>
      <c r="D123" s="139" t="s">
        <v>541</v>
      </c>
      <c r="E123" s="139" t="s">
        <v>1742</v>
      </c>
      <c r="F123" s="139" t="s">
        <v>162</v>
      </c>
      <c r="G123" s="142" t="n">
        <v>45831</v>
      </c>
      <c r="H123" s="141" t="s">
        <v>109</v>
      </c>
      <c r="I123" s="139" t="s">
        <v>309</v>
      </c>
      <c r="J123" s="139" t="s">
        <v>538</v>
      </c>
      <c r="K123" s="141"/>
      <c r="L123" s="141"/>
      <c r="M123" s="143"/>
    </row>
    <row r="124" customFormat="false" ht="21" hidden="false" customHeight="true" outlineLevel="0" collapsed="false">
      <c r="A124" s="144" t="s">
        <v>909</v>
      </c>
      <c r="B124" s="145" t="s">
        <v>592</v>
      </c>
      <c r="C124" s="146" t="s">
        <v>600</v>
      </c>
      <c r="D124" s="144" t="s">
        <v>593</v>
      </c>
      <c r="E124" s="144" t="s">
        <v>1743</v>
      </c>
      <c r="F124" s="144" t="s">
        <v>162</v>
      </c>
      <c r="G124" s="147" t="n">
        <v>45433</v>
      </c>
      <c r="H124" s="144" t="s">
        <v>110</v>
      </c>
      <c r="I124" s="144" t="s">
        <v>309</v>
      </c>
      <c r="J124" s="144" t="s">
        <v>596</v>
      </c>
      <c r="K124" s="146"/>
      <c r="L124" s="146"/>
      <c r="M124" s="148"/>
    </row>
    <row r="125" customFormat="false" ht="21" hidden="false" customHeight="true" outlineLevel="0" collapsed="false">
      <c r="A125" s="139" t="s">
        <v>909</v>
      </c>
      <c r="B125" s="140" t="s">
        <v>545</v>
      </c>
      <c r="C125" s="141" t="s">
        <v>600</v>
      </c>
      <c r="D125" s="139" t="s">
        <v>546</v>
      </c>
      <c r="E125" s="139" t="s">
        <v>547</v>
      </c>
      <c r="F125" s="139" t="s">
        <v>1681</v>
      </c>
      <c r="G125" s="142" t="n">
        <v>45262</v>
      </c>
      <c r="H125" s="141" t="s">
        <v>107</v>
      </c>
      <c r="I125" s="139" t="s">
        <v>309</v>
      </c>
      <c r="J125" s="139" t="s">
        <v>548</v>
      </c>
      <c r="K125" s="141"/>
      <c r="L125" s="141"/>
      <c r="M125" s="143"/>
    </row>
    <row r="126" customFormat="false" ht="21" hidden="false" customHeight="true" outlineLevel="0" collapsed="false">
      <c r="A126" s="144" t="s">
        <v>909</v>
      </c>
      <c r="B126" s="145" t="s">
        <v>550</v>
      </c>
      <c r="C126" s="146" t="s">
        <v>1744</v>
      </c>
      <c r="D126" s="144" t="s">
        <v>551</v>
      </c>
      <c r="E126" s="144" t="s">
        <v>552</v>
      </c>
      <c r="F126" s="144" t="s">
        <v>361</v>
      </c>
      <c r="G126" s="147" t="n">
        <v>45263</v>
      </c>
      <c r="H126" s="144" t="s">
        <v>110</v>
      </c>
      <c r="I126" s="144" t="s">
        <v>309</v>
      </c>
      <c r="J126" s="144" t="s">
        <v>1745</v>
      </c>
      <c r="K126" s="146"/>
      <c r="L126" s="146"/>
      <c r="M126" s="148"/>
    </row>
    <row r="127" customFormat="false" ht="21" hidden="false" customHeight="true" outlineLevel="0" collapsed="false">
      <c r="A127" s="139" t="s">
        <v>909</v>
      </c>
      <c r="B127" s="140" t="s">
        <v>555</v>
      </c>
      <c r="C127" s="141" t="s">
        <v>600</v>
      </c>
      <c r="D127" s="139" t="s">
        <v>556</v>
      </c>
      <c r="E127" s="139" t="s">
        <v>557</v>
      </c>
      <c r="F127" s="139" t="s">
        <v>1681</v>
      </c>
      <c r="G127" s="142" t="n">
        <v>45311</v>
      </c>
      <c r="H127" s="141"/>
      <c r="I127" s="139" t="s">
        <v>309</v>
      </c>
      <c r="J127" s="139" t="s">
        <v>559</v>
      </c>
      <c r="K127" s="141"/>
      <c r="L127" s="141"/>
      <c r="M127" s="143"/>
    </row>
    <row r="128" customFormat="false" ht="21" hidden="false" customHeight="true" outlineLevel="0" collapsed="false">
      <c r="A128" s="144" t="s">
        <v>909</v>
      </c>
      <c r="B128" s="145" t="s">
        <v>561</v>
      </c>
      <c r="C128" s="146" t="s">
        <v>506</v>
      </c>
      <c r="D128" s="144" t="s">
        <v>562</v>
      </c>
      <c r="E128" s="144" t="s">
        <v>563</v>
      </c>
      <c r="F128" s="144" t="s">
        <v>162</v>
      </c>
      <c r="G128" s="147" t="n">
        <v>46187</v>
      </c>
      <c r="H128" s="146"/>
      <c r="I128" s="144" t="s">
        <v>309</v>
      </c>
      <c r="J128" s="144" t="s">
        <v>548</v>
      </c>
      <c r="K128" s="146"/>
      <c r="L128" s="146"/>
      <c r="M128" s="148"/>
    </row>
    <row r="129" customFormat="false" ht="21" hidden="false" customHeight="true" outlineLevel="0" collapsed="false">
      <c r="A129" s="139" t="s">
        <v>909</v>
      </c>
      <c r="B129" s="140" t="s">
        <v>565</v>
      </c>
      <c r="C129" s="141" t="s">
        <v>506</v>
      </c>
      <c r="D129" s="139" t="s">
        <v>566</v>
      </c>
      <c r="E129" s="139" t="s">
        <v>567</v>
      </c>
      <c r="F129" s="139" t="s">
        <v>162</v>
      </c>
      <c r="G129" s="142" t="n">
        <v>45550</v>
      </c>
      <c r="H129" s="141"/>
      <c r="I129" s="139" t="s">
        <v>309</v>
      </c>
      <c r="J129" s="139" t="s">
        <v>528</v>
      </c>
      <c r="K129" s="141"/>
      <c r="L129" s="141"/>
      <c r="M129" s="143"/>
    </row>
    <row r="130" customFormat="false" ht="21" hidden="false" customHeight="true" outlineLevel="0" collapsed="false">
      <c r="A130" s="144" t="s">
        <v>909</v>
      </c>
      <c r="B130" s="145" t="s">
        <v>438</v>
      </c>
      <c r="C130" s="146" t="s">
        <v>506</v>
      </c>
      <c r="D130" s="144" t="s">
        <v>439</v>
      </c>
      <c r="E130" s="144" t="s">
        <v>440</v>
      </c>
      <c r="F130" s="144" t="s">
        <v>162</v>
      </c>
      <c r="G130" s="147" t="n">
        <v>45985</v>
      </c>
      <c r="H130" s="146" t="s">
        <v>36</v>
      </c>
      <c r="I130" s="144" t="s">
        <v>309</v>
      </c>
      <c r="J130" s="144" t="s">
        <v>310</v>
      </c>
      <c r="K130" s="144" t="s">
        <v>441</v>
      </c>
      <c r="L130" s="146"/>
      <c r="M130" s="148"/>
    </row>
    <row r="131" customFormat="false" ht="21" hidden="false" customHeight="true" outlineLevel="0" collapsed="false">
      <c r="A131" s="139" t="s">
        <v>909</v>
      </c>
      <c r="B131" s="140" t="s">
        <v>570</v>
      </c>
      <c r="C131" s="141" t="s">
        <v>1746</v>
      </c>
      <c r="D131" s="139" t="s">
        <v>571</v>
      </c>
      <c r="E131" s="139" t="s">
        <v>572</v>
      </c>
      <c r="F131" s="139" t="s">
        <v>361</v>
      </c>
      <c r="G131" s="142" t="n">
        <v>45852</v>
      </c>
      <c r="H131" s="141" t="s">
        <v>107</v>
      </c>
      <c r="I131" s="139" t="s">
        <v>309</v>
      </c>
      <c r="J131" s="139" t="s">
        <v>1745</v>
      </c>
      <c r="K131" s="141"/>
      <c r="L131" s="141"/>
      <c r="M131" s="143"/>
    </row>
    <row r="132" customFormat="false" ht="21" hidden="false" customHeight="true" outlineLevel="0" collapsed="false">
      <c r="A132" s="144" t="s">
        <v>909</v>
      </c>
      <c r="B132" s="145" t="s">
        <v>443</v>
      </c>
      <c r="C132" s="146" t="s">
        <v>176</v>
      </c>
      <c r="D132" s="144" t="s">
        <v>444</v>
      </c>
      <c r="E132" s="144" t="s">
        <v>445</v>
      </c>
      <c r="F132" s="144" t="s">
        <v>162</v>
      </c>
      <c r="G132" s="147" t="n">
        <v>45885</v>
      </c>
      <c r="H132" s="146" t="s">
        <v>36</v>
      </c>
      <c r="I132" s="144" t="s">
        <v>309</v>
      </c>
      <c r="J132" s="144" t="s">
        <v>310</v>
      </c>
      <c r="K132" s="144" t="s">
        <v>446</v>
      </c>
      <c r="L132" s="146"/>
      <c r="M132" s="148"/>
    </row>
    <row r="133" customFormat="false" ht="21" hidden="false" customHeight="true" outlineLevel="0" collapsed="false">
      <c r="A133" s="139" t="s">
        <v>909</v>
      </c>
      <c r="B133" s="140" t="s">
        <v>576</v>
      </c>
      <c r="C133" s="141" t="s">
        <v>506</v>
      </c>
      <c r="D133" s="139" t="s">
        <v>577</v>
      </c>
      <c r="E133" s="139" t="s">
        <v>578</v>
      </c>
      <c r="F133" s="139" t="s">
        <v>162</v>
      </c>
      <c r="G133" s="142" t="n">
        <v>46032</v>
      </c>
      <c r="H133" s="141" t="s">
        <v>109</v>
      </c>
      <c r="I133" s="139" t="s">
        <v>309</v>
      </c>
      <c r="J133" s="139" t="s">
        <v>579</v>
      </c>
      <c r="K133" s="141"/>
      <c r="L133" s="141"/>
      <c r="M133" s="143"/>
    </row>
    <row r="134" customFormat="false" ht="21" hidden="false" customHeight="true" outlineLevel="0" collapsed="false">
      <c r="A134" s="144" t="s">
        <v>909</v>
      </c>
      <c r="B134" s="145" t="s">
        <v>448</v>
      </c>
      <c r="C134" s="146" t="s">
        <v>250</v>
      </c>
      <c r="D134" s="144" t="s">
        <v>449</v>
      </c>
      <c r="E134" s="144" t="s">
        <v>450</v>
      </c>
      <c r="F134" s="144" t="s">
        <v>162</v>
      </c>
      <c r="G134" s="147" t="n">
        <v>46282</v>
      </c>
      <c r="H134" s="146" t="s">
        <v>36</v>
      </c>
      <c r="I134" s="144" t="s">
        <v>309</v>
      </c>
      <c r="J134" s="144" t="s">
        <v>310</v>
      </c>
      <c r="K134" s="146"/>
      <c r="L134" s="146"/>
      <c r="M134" s="148"/>
    </row>
    <row r="135" customFormat="false" ht="21" hidden="false" customHeight="true" outlineLevel="0" collapsed="false">
      <c r="A135" s="139" t="s">
        <v>909</v>
      </c>
      <c r="B135" s="140" t="s">
        <v>213</v>
      </c>
      <c r="C135" s="141" t="s">
        <v>250</v>
      </c>
      <c r="D135" s="139" t="s">
        <v>214</v>
      </c>
      <c r="E135" s="139" t="s">
        <v>215</v>
      </c>
      <c r="F135" s="139" t="s">
        <v>162</v>
      </c>
      <c r="G135" s="142" t="n">
        <v>45914</v>
      </c>
      <c r="H135" s="141" t="s">
        <v>36</v>
      </c>
      <c r="I135" s="141"/>
      <c r="J135" s="139" t="s">
        <v>163</v>
      </c>
      <c r="K135" s="141"/>
      <c r="L135" s="141"/>
      <c r="M135" s="143"/>
    </row>
    <row r="136" customFormat="false" ht="21" hidden="false" customHeight="true" outlineLevel="0" collapsed="false">
      <c r="A136" s="144" t="s">
        <v>909</v>
      </c>
      <c r="B136" s="145" t="s">
        <v>221</v>
      </c>
      <c r="C136" s="146" t="s">
        <v>222</v>
      </c>
      <c r="D136" s="144" t="s">
        <v>223</v>
      </c>
      <c r="E136" s="144" t="s">
        <v>224</v>
      </c>
      <c r="F136" s="144" t="s">
        <v>225</v>
      </c>
      <c r="G136" s="149"/>
      <c r="H136" s="146" t="s">
        <v>36</v>
      </c>
      <c r="I136" s="146"/>
      <c r="J136" s="144" t="s">
        <v>226</v>
      </c>
      <c r="K136" s="144" t="s">
        <v>227</v>
      </c>
      <c r="L136" s="146"/>
      <c r="M136" s="148"/>
    </row>
    <row r="137" customFormat="false" ht="21" hidden="false" customHeight="true" outlineLevel="0" collapsed="false">
      <c r="A137" s="139" t="s">
        <v>909</v>
      </c>
      <c r="B137" s="140" t="s">
        <v>645</v>
      </c>
      <c r="C137" s="141" t="s">
        <v>302</v>
      </c>
      <c r="D137" s="139" t="s">
        <v>1695</v>
      </c>
      <c r="E137" s="139" t="s">
        <v>648</v>
      </c>
      <c r="F137" s="139" t="s">
        <v>162</v>
      </c>
      <c r="G137" s="142" t="n">
        <v>46206</v>
      </c>
      <c r="H137" s="141" t="s">
        <v>38</v>
      </c>
      <c r="I137" s="141"/>
      <c r="J137" s="139" t="s">
        <v>163</v>
      </c>
      <c r="K137" s="141"/>
      <c r="L137" s="141"/>
      <c r="M137" s="143"/>
    </row>
    <row r="138" customFormat="false" ht="21" hidden="false" customHeight="true" outlineLevel="0" collapsed="false">
      <c r="A138" s="144" t="s">
        <v>909</v>
      </c>
      <c r="B138" s="145" t="s">
        <v>599</v>
      </c>
      <c r="C138" s="146" t="s">
        <v>302</v>
      </c>
      <c r="D138" s="144" t="s">
        <v>1723</v>
      </c>
      <c r="E138" s="144" t="s">
        <v>1724</v>
      </c>
      <c r="F138" s="144" t="s">
        <v>162</v>
      </c>
      <c r="G138" s="147" t="n">
        <v>46123</v>
      </c>
      <c r="H138" s="146" t="s">
        <v>38</v>
      </c>
      <c r="I138" s="146"/>
      <c r="J138" s="144" t="s">
        <v>163</v>
      </c>
      <c r="K138" s="146"/>
      <c r="L138" s="146"/>
      <c r="M138" s="148"/>
    </row>
    <row r="139" customFormat="false" ht="21" hidden="false" customHeight="true" outlineLevel="0" collapsed="false">
      <c r="A139" s="141"/>
      <c r="B139" s="150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</row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</sheetData>
  <mergeCells count="2">
    <mergeCell ref="B1:D1"/>
    <mergeCell ref="G1:M1"/>
  </mergeCells>
  <hyperlinks>
    <hyperlink ref="E1" location="'INÍCIO'!A1" display="⌂  Início"/>
    <hyperlink ref="F1" location="'DASHBOARD EXECUTIVO'!A1" display="▦  Dashboar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CBD3"/>
    <pageSetUpPr fitToPage="false"/>
  </sheetPr>
  <dimension ref="A1:M1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133" width="23"/>
    <col collapsed="false" customWidth="true" hidden="false" outlineLevel="0" max="3" min="3" style="133" width="10"/>
    <col collapsed="false" customWidth="true" hidden="false" outlineLevel="0" max="4" min="4" style="133" width="16"/>
    <col collapsed="false" customWidth="true" hidden="false" outlineLevel="0" max="5" min="5" style="0" width="70"/>
    <col collapsed="false" customWidth="true" hidden="false" outlineLevel="0" max="6" min="6" style="133" width="16"/>
    <col collapsed="false" customWidth="true" hidden="false" outlineLevel="0" max="7" min="7" style="133" width="14"/>
    <col collapsed="false" customWidth="true" hidden="false" outlineLevel="0" max="8" min="8" style="133" width="10"/>
    <col collapsed="false" customWidth="true" hidden="false" outlineLevel="0" max="9" min="9" style="0" width="12.9"/>
    <col collapsed="false" customWidth="true" hidden="false" outlineLevel="0" max="10" min="10" style="0" width="37"/>
    <col collapsed="false" customWidth="true" hidden="false" outlineLevel="0" max="11" min="11" style="0" width="70"/>
    <col collapsed="false" customWidth="true" hidden="false" outlineLevel="0" max="12" min="12" style="0" width="12.9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34"/>
      <c r="B1" s="196" t="s">
        <v>904</v>
      </c>
      <c r="C1" s="196"/>
      <c r="D1" s="196"/>
      <c r="E1" s="55" t="s">
        <v>64</v>
      </c>
      <c r="F1" s="55" t="s">
        <v>65</v>
      </c>
      <c r="G1" s="197" t="str">
        <f aca="false">"HISTÓRICO — versão anterior, não usada nos KPIs  ·  "&amp;COUNTA($B$3:$B$140)&amp;" registros"</f>
        <v>HISTÓRICO — versão anterior, não usada nos KPIs  ·  137 registros</v>
      </c>
      <c r="H1" s="197"/>
      <c r="I1" s="197"/>
      <c r="J1" s="197"/>
      <c r="K1" s="197"/>
      <c r="L1" s="197"/>
      <c r="M1" s="197"/>
    </row>
    <row r="2" s="199" customFormat="true" ht="31.5" hidden="false" customHeight="true" outlineLevel="0" collapsed="false">
      <c r="A2" s="198" t="s">
        <v>905</v>
      </c>
      <c r="B2" s="198" t="s">
        <v>906</v>
      </c>
      <c r="C2" s="198" t="s">
        <v>132</v>
      </c>
      <c r="D2" s="198" t="s">
        <v>140</v>
      </c>
      <c r="E2" s="198" t="s">
        <v>87</v>
      </c>
      <c r="F2" s="198" t="s">
        <v>907</v>
      </c>
      <c r="G2" s="198" t="s">
        <v>134</v>
      </c>
      <c r="H2" s="198" t="s">
        <v>88</v>
      </c>
      <c r="I2" s="198" t="s">
        <v>142</v>
      </c>
      <c r="J2" s="198" t="s">
        <v>908</v>
      </c>
      <c r="K2" s="198" t="s">
        <v>143</v>
      </c>
      <c r="L2" s="198" t="s">
        <v>144</v>
      </c>
      <c r="M2" s="137"/>
    </row>
    <row r="3" customFormat="false" ht="21" hidden="false" customHeight="true" outlineLevel="0" collapsed="false">
      <c r="A3" s="139" t="s">
        <v>909</v>
      </c>
      <c r="B3" s="140" t="s">
        <v>158</v>
      </c>
      <c r="C3" s="141" t="s">
        <v>176</v>
      </c>
      <c r="D3" s="139" t="s">
        <v>160</v>
      </c>
      <c r="E3" s="139" t="s">
        <v>161</v>
      </c>
      <c r="F3" s="139" t="s">
        <v>162</v>
      </c>
      <c r="G3" s="142" t="n">
        <v>45648</v>
      </c>
      <c r="H3" s="141" t="s">
        <v>36</v>
      </c>
      <c r="I3" s="141"/>
      <c r="J3" s="139" t="s">
        <v>163</v>
      </c>
      <c r="K3" s="139" t="s">
        <v>164</v>
      </c>
      <c r="L3" s="141"/>
      <c r="M3" s="143"/>
    </row>
    <row r="4" customFormat="false" ht="21" hidden="false" customHeight="true" outlineLevel="0" collapsed="false">
      <c r="A4" s="144" t="s">
        <v>909</v>
      </c>
      <c r="B4" s="145" t="s">
        <v>166</v>
      </c>
      <c r="C4" s="146" t="s">
        <v>176</v>
      </c>
      <c r="D4" s="144" t="s">
        <v>167</v>
      </c>
      <c r="E4" s="144" t="s">
        <v>168</v>
      </c>
      <c r="F4" s="144" t="s">
        <v>162</v>
      </c>
      <c r="G4" s="147" t="n">
        <v>46088</v>
      </c>
      <c r="H4" s="146" t="s">
        <v>36</v>
      </c>
      <c r="I4" s="146"/>
      <c r="J4" s="144" t="s">
        <v>163</v>
      </c>
      <c r="K4" s="146"/>
      <c r="L4" s="146"/>
      <c r="M4" s="148"/>
    </row>
    <row r="5" customFormat="false" ht="21" hidden="false" customHeight="true" outlineLevel="0" collapsed="false">
      <c r="A5" s="139" t="s">
        <v>909</v>
      </c>
      <c r="B5" s="140" t="s">
        <v>171</v>
      </c>
      <c r="C5" s="141" t="s">
        <v>176</v>
      </c>
      <c r="D5" s="139" t="s">
        <v>172</v>
      </c>
      <c r="E5" s="139" t="s">
        <v>173</v>
      </c>
      <c r="F5" s="139" t="s">
        <v>162</v>
      </c>
      <c r="G5" s="142" t="n">
        <v>45709</v>
      </c>
      <c r="H5" s="141" t="s">
        <v>36</v>
      </c>
      <c r="I5" s="141"/>
      <c r="J5" s="139" t="s">
        <v>163</v>
      </c>
      <c r="K5" s="141"/>
      <c r="L5" s="141"/>
      <c r="M5" s="143"/>
    </row>
    <row r="6" customFormat="false" ht="21" hidden="false" customHeight="true" outlineLevel="0" collapsed="false">
      <c r="A6" s="144" t="s">
        <v>909</v>
      </c>
      <c r="B6" s="145" t="s">
        <v>175</v>
      </c>
      <c r="C6" s="146" t="s">
        <v>250</v>
      </c>
      <c r="D6" s="144" t="s">
        <v>177</v>
      </c>
      <c r="E6" s="144" t="s">
        <v>178</v>
      </c>
      <c r="F6" s="144" t="s">
        <v>162</v>
      </c>
      <c r="G6" s="147" t="n">
        <v>45734</v>
      </c>
      <c r="H6" s="146" t="s">
        <v>36</v>
      </c>
      <c r="I6" s="146"/>
      <c r="J6" s="144" t="s">
        <v>163</v>
      </c>
      <c r="K6" s="144" t="s">
        <v>179</v>
      </c>
      <c r="L6" s="146"/>
      <c r="M6" s="148"/>
    </row>
    <row r="7" customFormat="false" ht="21" hidden="false" customHeight="true" outlineLevel="0" collapsed="false">
      <c r="A7" s="139" t="s">
        <v>909</v>
      </c>
      <c r="B7" s="140" t="s">
        <v>181</v>
      </c>
      <c r="C7" s="141" t="s">
        <v>250</v>
      </c>
      <c r="D7" s="139" t="s">
        <v>182</v>
      </c>
      <c r="E7" s="139" t="s">
        <v>183</v>
      </c>
      <c r="F7" s="139" t="s">
        <v>162</v>
      </c>
      <c r="G7" s="142" t="n">
        <v>45648</v>
      </c>
      <c r="H7" s="141" t="s">
        <v>36</v>
      </c>
      <c r="I7" s="141"/>
      <c r="J7" s="139" t="s">
        <v>163</v>
      </c>
      <c r="K7" s="141"/>
      <c r="L7" s="141"/>
      <c r="M7" s="143"/>
    </row>
    <row r="8" customFormat="false" ht="21" hidden="false" customHeight="true" outlineLevel="0" collapsed="false">
      <c r="A8" s="144" t="s">
        <v>909</v>
      </c>
      <c r="B8" s="145" t="s">
        <v>697</v>
      </c>
      <c r="C8" s="146" t="s">
        <v>250</v>
      </c>
      <c r="D8" s="144" t="s">
        <v>698</v>
      </c>
      <c r="E8" s="144" t="s">
        <v>699</v>
      </c>
      <c r="F8" s="144" t="s">
        <v>162</v>
      </c>
      <c r="G8" s="147" t="n">
        <v>45648</v>
      </c>
      <c r="H8" s="146" t="s">
        <v>36</v>
      </c>
      <c r="I8" s="146"/>
      <c r="J8" s="144" t="s">
        <v>163</v>
      </c>
      <c r="K8" s="146"/>
      <c r="L8" s="146"/>
      <c r="M8" s="148"/>
    </row>
    <row r="9" customFormat="false" ht="21" hidden="false" customHeight="true" outlineLevel="0" collapsed="false">
      <c r="A9" s="139" t="s">
        <v>909</v>
      </c>
      <c r="B9" s="140" t="s">
        <v>185</v>
      </c>
      <c r="C9" s="141" t="s">
        <v>250</v>
      </c>
      <c r="D9" s="139" t="s">
        <v>186</v>
      </c>
      <c r="E9" s="139" t="s">
        <v>187</v>
      </c>
      <c r="F9" s="139" t="s">
        <v>162</v>
      </c>
      <c r="G9" s="142" t="n">
        <v>45648</v>
      </c>
      <c r="H9" s="141" t="s">
        <v>36</v>
      </c>
      <c r="I9" s="141"/>
      <c r="J9" s="139" t="s">
        <v>163</v>
      </c>
      <c r="K9" s="139" t="s">
        <v>188</v>
      </c>
      <c r="L9" s="141"/>
      <c r="M9" s="143"/>
    </row>
    <row r="10" customFormat="false" ht="21" hidden="false" customHeight="true" outlineLevel="0" collapsed="false">
      <c r="A10" s="144" t="s">
        <v>909</v>
      </c>
      <c r="B10" s="145" t="s">
        <v>453</v>
      </c>
      <c r="C10" s="146" t="s">
        <v>250</v>
      </c>
      <c r="D10" s="144" t="s">
        <v>454</v>
      </c>
      <c r="E10" s="144" t="s">
        <v>455</v>
      </c>
      <c r="F10" s="144" t="s">
        <v>162</v>
      </c>
      <c r="G10" s="147" t="n">
        <v>45720</v>
      </c>
      <c r="H10" s="146" t="s">
        <v>36</v>
      </c>
      <c r="I10" s="146"/>
      <c r="J10" s="144" t="s">
        <v>163</v>
      </c>
      <c r="K10" s="146"/>
      <c r="L10" s="146"/>
      <c r="M10" s="148"/>
    </row>
    <row r="11" customFormat="false" ht="21" hidden="false" customHeight="true" outlineLevel="0" collapsed="false">
      <c r="A11" s="139" t="s">
        <v>909</v>
      </c>
      <c r="B11" s="140" t="s">
        <v>190</v>
      </c>
      <c r="C11" s="141" t="s">
        <v>159</v>
      </c>
      <c r="D11" s="139" t="s">
        <v>192</v>
      </c>
      <c r="E11" s="139" t="s">
        <v>193</v>
      </c>
      <c r="F11" s="139" t="s">
        <v>162</v>
      </c>
      <c r="G11" s="142" t="n">
        <v>45703</v>
      </c>
      <c r="H11" s="141" t="s">
        <v>36</v>
      </c>
      <c r="I11" s="141"/>
      <c r="J11" s="139" t="s">
        <v>163</v>
      </c>
      <c r="K11" s="141"/>
      <c r="L11" s="141"/>
      <c r="M11" s="143"/>
    </row>
    <row r="12" customFormat="false" ht="21" hidden="false" customHeight="true" outlineLevel="0" collapsed="false">
      <c r="A12" s="144" t="s">
        <v>909</v>
      </c>
      <c r="B12" s="145" t="s">
        <v>195</v>
      </c>
      <c r="C12" s="146" t="s">
        <v>250</v>
      </c>
      <c r="D12" s="144" t="s">
        <v>196</v>
      </c>
      <c r="E12" s="144" t="s">
        <v>197</v>
      </c>
      <c r="F12" s="144" t="s">
        <v>162</v>
      </c>
      <c r="G12" s="147" t="n">
        <v>45585</v>
      </c>
      <c r="H12" s="146" t="s">
        <v>36</v>
      </c>
      <c r="I12" s="146"/>
      <c r="J12" s="144" t="s">
        <v>163</v>
      </c>
      <c r="K12" s="146"/>
      <c r="L12" s="146"/>
      <c r="M12" s="148"/>
    </row>
    <row r="13" customFormat="false" ht="21" hidden="false" customHeight="true" outlineLevel="0" collapsed="false">
      <c r="A13" s="139" t="s">
        <v>909</v>
      </c>
      <c r="B13" s="140" t="s">
        <v>199</v>
      </c>
      <c r="C13" s="141" t="s">
        <v>250</v>
      </c>
      <c r="D13" s="139" t="s">
        <v>200</v>
      </c>
      <c r="E13" s="139" t="s">
        <v>201</v>
      </c>
      <c r="F13" s="139" t="s">
        <v>162</v>
      </c>
      <c r="G13" s="142" t="n">
        <v>45585</v>
      </c>
      <c r="H13" s="141" t="s">
        <v>36</v>
      </c>
      <c r="I13" s="141"/>
      <c r="J13" s="139" t="s">
        <v>163</v>
      </c>
      <c r="K13" s="141"/>
      <c r="L13" s="141"/>
      <c r="M13" s="143"/>
    </row>
    <row r="14" customFormat="false" ht="21" hidden="false" customHeight="true" outlineLevel="0" collapsed="false">
      <c r="A14" s="144" t="s">
        <v>909</v>
      </c>
      <c r="B14" s="145" t="s">
        <v>203</v>
      </c>
      <c r="C14" s="146" t="s">
        <v>250</v>
      </c>
      <c r="D14" s="144" t="s">
        <v>204</v>
      </c>
      <c r="E14" s="144" t="s">
        <v>205</v>
      </c>
      <c r="F14" s="144" t="s">
        <v>162</v>
      </c>
      <c r="G14" s="147" t="n">
        <v>45709</v>
      </c>
      <c r="H14" s="146" t="s">
        <v>36</v>
      </c>
      <c r="I14" s="146"/>
      <c r="J14" s="144" t="s">
        <v>163</v>
      </c>
      <c r="K14" s="144" t="s">
        <v>206</v>
      </c>
      <c r="L14" s="146"/>
      <c r="M14" s="148"/>
    </row>
    <row r="15" customFormat="false" ht="21" hidden="false" customHeight="true" outlineLevel="0" collapsed="false">
      <c r="A15" s="139" t="s">
        <v>909</v>
      </c>
      <c r="B15" s="140" t="s">
        <v>208</v>
      </c>
      <c r="C15" s="141" t="s">
        <v>250</v>
      </c>
      <c r="D15" s="139" t="s">
        <v>209</v>
      </c>
      <c r="E15" s="139" t="s">
        <v>210</v>
      </c>
      <c r="F15" s="139" t="s">
        <v>162</v>
      </c>
      <c r="G15" s="142" t="n">
        <v>45648</v>
      </c>
      <c r="H15" s="141" t="s">
        <v>36</v>
      </c>
      <c r="I15" s="141"/>
      <c r="J15" s="139" t="s">
        <v>163</v>
      </c>
      <c r="K15" s="139" t="s">
        <v>211</v>
      </c>
      <c r="L15" s="141"/>
      <c r="M15" s="143"/>
    </row>
    <row r="16" customFormat="false" ht="21" hidden="false" customHeight="true" outlineLevel="0" collapsed="false">
      <c r="A16" s="144" t="s">
        <v>909</v>
      </c>
      <c r="B16" s="145" t="s">
        <v>702</v>
      </c>
      <c r="C16" s="146" t="s">
        <v>250</v>
      </c>
      <c r="D16" s="144" t="s">
        <v>703</v>
      </c>
      <c r="E16" s="144" t="s">
        <v>704</v>
      </c>
      <c r="F16" s="144" t="s">
        <v>162</v>
      </c>
      <c r="G16" s="147" t="n">
        <v>46130</v>
      </c>
      <c r="H16" s="146"/>
      <c r="I16" s="146"/>
      <c r="J16" s="144" t="s">
        <v>163</v>
      </c>
      <c r="K16" s="146"/>
      <c r="L16" s="146"/>
      <c r="M16" s="148"/>
    </row>
    <row r="17" customFormat="false" ht="21" hidden="false" customHeight="true" outlineLevel="0" collapsed="false">
      <c r="A17" s="139" t="s">
        <v>909</v>
      </c>
      <c r="B17" s="140" t="s">
        <v>685</v>
      </c>
      <c r="C17" s="141" t="s">
        <v>250</v>
      </c>
      <c r="D17" s="139" t="s">
        <v>686</v>
      </c>
      <c r="E17" s="139" t="s">
        <v>687</v>
      </c>
      <c r="F17" s="139" t="s">
        <v>162</v>
      </c>
      <c r="G17" s="142" t="n">
        <v>45914</v>
      </c>
      <c r="H17" s="141"/>
      <c r="I17" s="141"/>
      <c r="J17" s="139" t="s">
        <v>163</v>
      </c>
      <c r="K17" s="141"/>
      <c r="L17" s="141"/>
      <c r="M17" s="143"/>
    </row>
    <row r="18" customFormat="false" ht="21" hidden="false" customHeight="true" outlineLevel="0" collapsed="false">
      <c r="A18" s="144" t="s">
        <v>909</v>
      </c>
      <c r="B18" s="145" t="s">
        <v>706</v>
      </c>
      <c r="C18" s="146" t="s">
        <v>176</v>
      </c>
      <c r="D18" s="144" t="s">
        <v>707</v>
      </c>
      <c r="E18" s="144" t="s">
        <v>708</v>
      </c>
      <c r="F18" s="144" t="s">
        <v>162</v>
      </c>
      <c r="G18" s="147" t="n">
        <v>45957</v>
      </c>
      <c r="H18" s="146"/>
      <c r="I18" s="146"/>
      <c r="J18" s="144" t="s">
        <v>163</v>
      </c>
      <c r="K18" s="144" t="s">
        <v>709</v>
      </c>
      <c r="L18" s="146"/>
      <c r="M18" s="148"/>
    </row>
    <row r="19" customFormat="false" ht="21" hidden="false" customHeight="true" outlineLevel="0" collapsed="false">
      <c r="A19" s="139" t="s">
        <v>909</v>
      </c>
      <c r="B19" s="140" t="s">
        <v>711</v>
      </c>
      <c r="C19" s="141" t="s">
        <v>250</v>
      </c>
      <c r="D19" s="139" t="s">
        <v>712</v>
      </c>
      <c r="E19" s="139" t="s">
        <v>713</v>
      </c>
      <c r="F19" s="139" t="s">
        <v>162</v>
      </c>
      <c r="G19" s="142" t="n">
        <v>45411</v>
      </c>
      <c r="H19" s="141"/>
      <c r="I19" s="141"/>
      <c r="J19" s="139" t="s">
        <v>163</v>
      </c>
      <c r="K19" s="141"/>
      <c r="L19" s="141"/>
      <c r="M19" s="143"/>
    </row>
    <row r="20" customFormat="false" ht="21" hidden="false" customHeight="true" outlineLevel="0" collapsed="false">
      <c r="A20" s="144" t="s">
        <v>909</v>
      </c>
      <c r="B20" s="145" t="s">
        <v>605</v>
      </c>
      <c r="C20" s="146" t="s">
        <v>506</v>
      </c>
      <c r="D20" s="144" t="s">
        <v>606</v>
      </c>
      <c r="E20" s="144" t="s">
        <v>607</v>
      </c>
      <c r="F20" s="144" t="s">
        <v>162</v>
      </c>
      <c r="G20" s="147" t="n">
        <v>45614</v>
      </c>
      <c r="H20" s="146"/>
      <c r="I20" s="146"/>
      <c r="J20" s="144" t="s">
        <v>163</v>
      </c>
      <c r="K20" s="146"/>
      <c r="L20" s="146"/>
      <c r="M20" s="148"/>
    </row>
    <row r="21" customFormat="false" ht="21" hidden="false" customHeight="true" outlineLevel="0" collapsed="false">
      <c r="A21" s="139" t="s">
        <v>909</v>
      </c>
      <c r="B21" s="140" t="s">
        <v>715</v>
      </c>
      <c r="C21" s="141" t="s">
        <v>176</v>
      </c>
      <c r="D21" s="139" t="s">
        <v>716</v>
      </c>
      <c r="E21" s="139" t="s">
        <v>717</v>
      </c>
      <c r="F21" s="139" t="s">
        <v>162</v>
      </c>
      <c r="G21" s="142" t="n">
        <v>46278</v>
      </c>
      <c r="H21" s="141"/>
      <c r="I21" s="141"/>
      <c r="J21" s="139" t="s">
        <v>163</v>
      </c>
      <c r="K21" s="141"/>
      <c r="L21" s="141"/>
      <c r="M21" s="143"/>
    </row>
    <row r="22" customFormat="false" ht="21" hidden="false" customHeight="true" outlineLevel="0" collapsed="false">
      <c r="A22" s="144" t="s">
        <v>909</v>
      </c>
      <c r="B22" s="145" t="s">
        <v>719</v>
      </c>
      <c r="C22" s="146" t="s">
        <v>235</v>
      </c>
      <c r="D22" s="144" t="s">
        <v>721</v>
      </c>
      <c r="E22" s="144" t="s">
        <v>722</v>
      </c>
      <c r="F22" s="144" t="s">
        <v>162</v>
      </c>
      <c r="G22" s="147" t="n">
        <v>45734</v>
      </c>
      <c r="H22" s="146"/>
      <c r="I22" s="146"/>
      <c r="J22" s="144" t="s">
        <v>163</v>
      </c>
      <c r="K22" s="146"/>
      <c r="L22" s="146"/>
      <c r="M22" s="148"/>
    </row>
    <row r="23" customFormat="false" ht="21" hidden="false" customHeight="true" outlineLevel="0" collapsed="false">
      <c r="A23" s="139" t="s">
        <v>909</v>
      </c>
      <c r="B23" s="140" t="s">
        <v>1672</v>
      </c>
      <c r="C23" s="141" t="s">
        <v>506</v>
      </c>
      <c r="D23" s="139" t="s">
        <v>1673</v>
      </c>
      <c r="E23" s="139" t="s">
        <v>1674</v>
      </c>
      <c r="F23" s="139" t="s">
        <v>162</v>
      </c>
      <c r="G23" s="142" t="n">
        <v>46130</v>
      </c>
      <c r="H23" s="141"/>
      <c r="I23" s="141"/>
      <c r="J23" s="139" t="s">
        <v>163</v>
      </c>
      <c r="K23" s="141"/>
      <c r="L23" s="141"/>
      <c r="M23" s="143"/>
    </row>
    <row r="24" customFormat="false" ht="21" hidden="false" customHeight="true" outlineLevel="0" collapsed="false">
      <c r="A24" s="144" t="s">
        <v>909</v>
      </c>
      <c r="B24" s="145" t="s">
        <v>618</v>
      </c>
      <c r="C24" s="146" t="s">
        <v>506</v>
      </c>
      <c r="D24" s="144" t="s">
        <v>619</v>
      </c>
      <c r="E24" s="144" t="s">
        <v>620</v>
      </c>
      <c r="F24" s="144" t="s">
        <v>162</v>
      </c>
      <c r="G24" s="147" t="n">
        <v>46278</v>
      </c>
      <c r="H24" s="146"/>
      <c r="I24" s="146"/>
      <c r="J24" s="144" t="s">
        <v>163</v>
      </c>
      <c r="K24" s="146"/>
      <c r="L24" s="146"/>
      <c r="M24" s="148"/>
    </row>
    <row r="25" customFormat="false" ht="21" hidden="false" customHeight="true" outlineLevel="0" collapsed="false">
      <c r="A25" s="139" t="s">
        <v>909</v>
      </c>
      <c r="B25" s="140" t="s">
        <v>614</v>
      </c>
      <c r="C25" s="141" t="s">
        <v>506</v>
      </c>
      <c r="D25" s="139" t="s">
        <v>615</v>
      </c>
      <c r="E25" s="139" t="s">
        <v>1675</v>
      </c>
      <c r="F25" s="139" t="s">
        <v>162</v>
      </c>
      <c r="G25" s="142" t="n">
        <v>45648</v>
      </c>
      <c r="H25" s="141"/>
      <c r="I25" s="141"/>
      <c r="J25" s="139" t="s">
        <v>163</v>
      </c>
      <c r="K25" s="141"/>
      <c r="L25" s="141"/>
      <c r="M25" s="143"/>
    </row>
    <row r="26" customFormat="false" ht="21" hidden="false" customHeight="true" outlineLevel="0" collapsed="false">
      <c r="A26" s="144" t="s">
        <v>909</v>
      </c>
      <c r="B26" s="145" t="s">
        <v>659</v>
      </c>
      <c r="C26" s="146" t="s">
        <v>600</v>
      </c>
      <c r="D26" s="144" t="s">
        <v>1676</v>
      </c>
      <c r="E26" s="144" t="s">
        <v>1677</v>
      </c>
      <c r="F26" s="144" t="s">
        <v>162</v>
      </c>
      <c r="G26" s="147" t="n">
        <v>45411</v>
      </c>
      <c r="H26" s="146"/>
      <c r="I26" s="146"/>
      <c r="J26" s="144" t="s">
        <v>163</v>
      </c>
      <c r="K26" s="146"/>
      <c r="L26" s="146"/>
      <c r="M26" s="148"/>
    </row>
    <row r="27" customFormat="false" ht="21" hidden="false" customHeight="true" outlineLevel="0" collapsed="false">
      <c r="A27" s="139" t="s">
        <v>909</v>
      </c>
      <c r="B27" s="140" t="s">
        <v>1678</v>
      </c>
      <c r="C27" s="141" t="s">
        <v>600</v>
      </c>
      <c r="D27" s="139" t="s">
        <v>1679</v>
      </c>
      <c r="E27" s="139" t="s">
        <v>1680</v>
      </c>
      <c r="F27" s="139" t="s">
        <v>162</v>
      </c>
      <c r="G27" s="142" t="n">
        <v>45411</v>
      </c>
      <c r="H27" s="141"/>
      <c r="I27" s="141"/>
      <c r="J27" s="139" t="s">
        <v>163</v>
      </c>
      <c r="K27" s="141"/>
      <c r="L27" s="141"/>
      <c r="M27" s="143"/>
    </row>
    <row r="28" customFormat="false" ht="21" hidden="false" customHeight="true" outlineLevel="0" collapsed="false">
      <c r="A28" s="144" t="s">
        <v>909</v>
      </c>
      <c r="B28" s="145" t="s">
        <v>457</v>
      </c>
      <c r="C28" s="146" t="s">
        <v>506</v>
      </c>
      <c r="D28" s="144" t="s">
        <v>458</v>
      </c>
      <c r="E28" s="144" t="s">
        <v>459</v>
      </c>
      <c r="F28" s="144" t="s">
        <v>162</v>
      </c>
      <c r="G28" s="147" t="n">
        <v>46130</v>
      </c>
      <c r="H28" s="146"/>
      <c r="I28" s="146"/>
      <c r="J28" s="144" t="s">
        <v>163</v>
      </c>
      <c r="K28" s="146"/>
      <c r="L28" s="146"/>
      <c r="M28" s="148"/>
    </row>
    <row r="29" customFormat="false" ht="21" hidden="false" customHeight="true" outlineLevel="0" collapsed="false">
      <c r="A29" s="139" t="s">
        <v>909</v>
      </c>
      <c r="B29" s="140" t="s">
        <v>462</v>
      </c>
      <c r="C29" s="141" t="s">
        <v>506</v>
      </c>
      <c r="D29" s="139" t="s">
        <v>463</v>
      </c>
      <c r="E29" s="139" t="s">
        <v>464</v>
      </c>
      <c r="F29" s="139" t="s">
        <v>162</v>
      </c>
      <c r="G29" s="142" t="n">
        <v>46278</v>
      </c>
      <c r="H29" s="141"/>
      <c r="I29" s="141"/>
      <c r="J29" s="139" t="s">
        <v>163</v>
      </c>
      <c r="K29" s="141"/>
      <c r="L29" s="141"/>
      <c r="M29" s="143"/>
    </row>
    <row r="30" customFormat="false" ht="21" hidden="false" customHeight="true" outlineLevel="0" collapsed="false">
      <c r="A30" s="144" t="s">
        <v>909</v>
      </c>
      <c r="B30" s="145" t="s">
        <v>585</v>
      </c>
      <c r="C30" s="146" t="s">
        <v>506</v>
      </c>
      <c r="D30" s="144" t="s">
        <v>586</v>
      </c>
      <c r="E30" s="144" t="s">
        <v>587</v>
      </c>
      <c r="F30" s="144" t="s">
        <v>1681</v>
      </c>
      <c r="G30" s="147" t="n">
        <v>45325</v>
      </c>
      <c r="H30" s="146"/>
      <c r="I30" s="146"/>
      <c r="J30" s="144" t="s">
        <v>163</v>
      </c>
      <c r="K30" s="146"/>
      <c r="L30" s="146"/>
      <c r="M30" s="148"/>
    </row>
    <row r="31" customFormat="false" ht="21" hidden="false" customHeight="true" outlineLevel="0" collapsed="false">
      <c r="A31" s="139" t="s">
        <v>909</v>
      </c>
      <c r="B31" s="140" t="s">
        <v>213</v>
      </c>
      <c r="C31" s="141" t="s">
        <v>250</v>
      </c>
      <c r="D31" s="139" t="s">
        <v>214</v>
      </c>
      <c r="E31" s="139" t="s">
        <v>215</v>
      </c>
      <c r="F31" s="139" t="s">
        <v>162</v>
      </c>
      <c r="G31" s="142" t="n">
        <v>45914</v>
      </c>
      <c r="H31" s="141"/>
      <c r="I31" s="141"/>
      <c r="J31" s="139" t="s">
        <v>163</v>
      </c>
      <c r="K31" s="141"/>
      <c r="L31" s="141"/>
      <c r="M31" s="143"/>
    </row>
    <row r="32" customFormat="false" ht="21" hidden="false" customHeight="true" outlineLevel="0" collapsed="false">
      <c r="A32" s="144" t="s">
        <v>909</v>
      </c>
      <c r="B32" s="145" t="s">
        <v>740</v>
      </c>
      <c r="C32" s="146" t="s">
        <v>302</v>
      </c>
      <c r="D32" s="144" t="s">
        <v>741</v>
      </c>
      <c r="E32" s="144" t="s">
        <v>742</v>
      </c>
      <c r="F32" s="144" t="s">
        <v>162</v>
      </c>
      <c r="G32" s="147" t="n">
        <v>45775</v>
      </c>
      <c r="H32" s="146"/>
      <c r="I32" s="146"/>
      <c r="J32" s="144" t="s">
        <v>163</v>
      </c>
      <c r="K32" s="146"/>
      <c r="L32" s="146"/>
      <c r="M32" s="148"/>
    </row>
    <row r="33" customFormat="false" ht="21" hidden="false" customHeight="true" outlineLevel="0" collapsed="false">
      <c r="A33" s="139" t="s">
        <v>909</v>
      </c>
      <c r="B33" s="140" t="s">
        <v>1682</v>
      </c>
      <c r="C33" s="141" t="s">
        <v>600</v>
      </c>
      <c r="D33" s="139" t="s">
        <v>1683</v>
      </c>
      <c r="E33" s="139" t="s">
        <v>1684</v>
      </c>
      <c r="F33" s="139" t="s">
        <v>162</v>
      </c>
      <c r="G33" s="142" t="n">
        <v>46042</v>
      </c>
      <c r="H33" s="141"/>
      <c r="I33" s="141"/>
      <c r="J33" s="139" t="s">
        <v>163</v>
      </c>
      <c r="K33" s="141"/>
      <c r="L33" s="141"/>
      <c r="M33" s="143"/>
    </row>
    <row r="34" customFormat="false" ht="21" hidden="false" customHeight="true" outlineLevel="0" collapsed="false">
      <c r="A34" s="144" t="s">
        <v>909</v>
      </c>
      <c r="B34" s="145" t="s">
        <v>689</v>
      </c>
      <c r="C34" s="146" t="s">
        <v>600</v>
      </c>
      <c r="D34" s="144" t="s">
        <v>690</v>
      </c>
      <c r="E34" s="144" t="s">
        <v>1685</v>
      </c>
      <c r="F34" s="144" t="s">
        <v>162</v>
      </c>
      <c r="G34" s="147" t="n">
        <v>45734</v>
      </c>
      <c r="H34" s="146"/>
      <c r="I34" s="146"/>
      <c r="J34" s="144" t="s">
        <v>163</v>
      </c>
      <c r="K34" s="146"/>
      <c r="L34" s="146"/>
      <c r="M34" s="148"/>
    </row>
    <row r="35" customFormat="false" ht="21" hidden="false" customHeight="true" outlineLevel="0" collapsed="false">
      <c r="A35" s="139" t="s">
        <v>909</v>
      </c>
      <c r="B35" s="140" t="s">
        <v>217</v>
      </c>
      <c r="C35" s="141" t="s">
        <v>159</v>
      </c>
      <c r="D35" s="139" t="s">
        <v>218</v>
      </c>
      <c r="E35" s="139" t="s">
        <v>219</v>
      </c>
      <c r="F35" s="139" t="s">
        <v>162</v>
      </c>
      <c r="G35" s="142" t="n">
        <v>45730</v>
      </c>
      <c r="H35" s="141"/>
      <c r="I35" s="141"/>
      <c r="J35" s="139" t="s">
        <v>163</v>
      </c>
      <c r="K35" s="141"/>
      <c r="L35" s="141"/>
      <c r="M35" s="143"/>
    </row>
    <row r="36" customFormat="false" ht="21" hidden="false" customHeight="true" outlineLevel="0" collapsed="false">
      <c r="A36" s="144" t="s">
        <v>909</v>
      </c>
      <c r="B36" s="145" t="s">
        <v>650</v>
      </c>
      <c r="C36" s="146" t="s">
        <v>506</v>
      </c>
      <c r="D36" s="144" t="s">
        <v>1686</v>
      </c>
      <c r="E36" s="144" t="s">
        <v>1687</v>
      </c>
      <c r="F36" s="144" t="s">
        <v>162</v>
      </c>
      <c r="G36" s="147" t="n">
        <v>46130</v>
      </c>
      <c r="H36" s="146"/>
      <c r="I36" s="146"/>
      <c r="J36" s="144" t="s">
        <v>163</v>
      </c>
      <c r="K36" s="146"/>
      <c r="L36" s="146"/>
      <c r="M36" s="148"/>
    </row>
    <row r="37" customFormat="false" ht="21" hidden="false" customHeight="true" outlineLevel="0" collapsed="false">
      <c r="A37" s="139" t="s">
        <v>909</v>
      </c>
      <c r="B37" s="140" t="s">
        <v>724</v>
      </c>
      <c r="C37" s="141" t="s">
        <v>1688</v>
      </c>
      <c r="D37" s="139" t="s">
        <v>725</v>
      </c>
      <c r="E37" s="139" t="s">
        <v>726</v>
      </c>
      <c r="F37" s="139" t="s">
        <v>361</v>
      </c>
      <c r="G37" s="142" t="n">
        <v>45193</v>
      </c>
      <c r="H37" s="141"/>
      <c r="I37" s="141"/>
      <c r="J37" s="139" t="s">
        <v>163</v>
      </c>
      <c r="K37" s="141"/>
      <c r="L37" s="141"/>
      <c r="M37" s="143"/>
    </row>
    <row r="38" customFormat="false" ht="21" hidden="false" customHeight="true" outlineLevel="0" collapsed="false">
      <c r="A38" s="144" t="s">
        <v>909</v>
      </c>
      <c r="B38" s="145" t="s">
        <v>693</v>
      </c>
      <c r="C38" s="146" t="s">
        <v>1688</v>
      </c>
      <c r="D38" s="144" t="s">
        <v>694</v>
      </c>
      <c r="E38" s="144" t="s">
        <v>1689</v>
      </c>
      <c r="F38" s="144" t="s">
        <v>361</v>
      </c>
      <c r="G38" s="147" t="n">
        <v>45191</v>
      </c>
      <c r="H38" s="146"/>
      <c r="I38" s="146"/>
      <c r="J38" s="144" t="s">
        <v>163</v>
      </c>
      <c r="K38" s="146"/>
      <c r="L38" s="146"/>
      <c r="M38" s="148"/>
    </row>
    <row r="39" customFormat="false" ht="21" hidden="false" customHeight="true" outlineLevel="0" collapsed="false">
      <c r="A39" s="139" t="s">
        <v>909</v>
      </c>
      <c r="B39" s="140" t="s">
        <v>672</v>
      </c>
      <c r="C39" s="141" t="s">
        <v>600</v>
      </c>
      <c r="D39" s="139" t="s">
        <v>673</v>
      </c>
      <c r="E39" s="139" t="s">
        <v>1690</v>
      </c>
      <c r="F39" s="139" t="s">
        <v>162</v>
      </c>
      <c r="G39" s="142" t="n">
        <v>46130</v>
      </c>
      <c r="H39" s="141"/>
      <c r="I39" s="141"/>
      <c r="J39" s="139" t="s">
        <v>163</v>
      </c>
      <c r="K39" s="141"/>
      <c r="L39" s="141"/>
      <c r="M39" s="143"/>
    </row>
    <row r="40" customFormat="false" ht="21" hidden="false" customHeight="true" outlineLevel="0" collapsed="false">
      <c r="A40" s="144" t="s">
        <v>909</v>
      </c>
      <c r="B40" s="145" t="s">
        <v>1691</v>
      </c>
      <c r="C40" s="146" t="s">
        <v>1692</v>
      </c>
      <c r="D40" s="144" t="s">
        <v>1693</v>
      </c>
      <c r="E40" s="144" t="s">
        <v>1694</v>
      </c>
      <c r="F40" s="144" t="s">
        <v>361</v>
      </c>
      <c r="G40" s="147" t="n">
        <v>45120</v>
      </c>
      <c r="H40" s="146"/>
      <c r="I40" s="146"/>
      <c r="J40" s="144" t="s">
        <v>163</v>
      </c>
      <c r="K40" s="146"/>
      <c r="L40" s="146"/>
      <c r="M40" s="148"/>
    </row>
    <row r="41" customFormat="false" ht="21" hidden="false" customHeight="true" outlineLevel="0" collapsed="false">
      <c r="A41" s="139" t="s">
        <v>909</v>
      </c>
      <c r="B41" s="140" t="s">
        <v>221</v>
      </c>
      <c r="C41" s="141" t="s">
        <v>222</v>
      </c>
      <c r="D41" s="139" t="s">
        <v>223</v>
      </c>
      <c r="E41" s="139" t="s">
        <v>224</v>
      </c>
      <c r="F41" s="139" t="s">
        <v>225</v>
      </c>
      <c r="G41" s="151"/>
      <c r="H41" s="141"/>
      <c r="I41" s="141"/>
      <c r="J41" s="139" t="s">
        <v>226</v>
      </c>
      <c r="K41" s="139" t="s">
        <v>227</v>
      </c>
      <c r="L41" s="141"/>
      <c r="M41" s="143"/>
    </row>
    <row r="42" customFormat="false" ht="21" hidden="false" customHeight="true" outlineLevel="0" collapsed="false">
      <c r="A42" s="144" t="s">
        <v>909</v>
      </c>
      <c r="B42" s="145" t="s">
        <v>728</v>
      </c>
      <c r="C42" s="146" t="s">
        <v>302</v>
      </c>
      <c r="D42" s="144" t="s">
        <v>729</v>
      </c>
      <c r="E42" s="144" t="s">
        <v>730</v>
      </c>
      <c r="F42" s="144" t="s">
        <v>162</v>
      </c>
      <c r="G42" s="147" t="n">
        <v>46205</v>
      </c>
      <c r="H42" s="146"/>
      <c r="I42" s="146"/>
      <c r="J42" s="144" t="s">
        <v>163</v>
      </c>
      <c r="K42" s="146"/>
      <c r="L42" s="146"/>
      <c r="M42" s="148"/>
    </row>
    <row r="43" customFormat="false" ht="21" hidden="false" customHeight="true" outlineLevel="0" collapsed="false">
      <c r="A43" s="139" t="s">
        <v>909</v>
      </c>
      <c r="B43" s="140" t="s">
        <v>645</v>
      </c>
      <c r="C43" s="141" t="s">
        <v>302</v>
      </c>
      <c r="D43" s="139" t="s">
        <v>1695</v>
      </c>
      <c r="E43" s="139" t="s">
        <v>648</v>
      </c>
      <c r="F43" s="139" t="s">
        <v>162</v>
      </c>
      <c r="G43" s="142" t="n">
        <v>46206</v>
      </c>
      <c r="H43" s="141"/>
      <c r="I43" s="141"/>
      <c r="J43" s="139" t="s">
        <v>163</v>
      </c>
      <c r="K43" s="141"/>
      <c r="L43" s="141"/>
      <c r="M43" s="143"/>
    </row>
    <row r="44" customFormat="false" ht="21" hidden="false" customHeight="true" outlineLevel="0" collapsed="false">
      <c r="A44" s="144" t="s">
        <v>909</v>
      </c>
      <c r="B44" s="145" t="s">
        <v>732</v>
      </c>
      <c r="C44" s="146" t="s">
        <v>250</v>
      </c>
      <c r="D44" s="144" t="s">
        <v>733</v>
      </c>
      <c r="E44" s="144" t="s">
        <v>734</v>
      </c>
      <c r="F44" s="144" t="s">
        <v>162</v>
      </c>
      <c r="G44" s="147" t="n">
        <v>46088</v>
      </c>
      <c r="H44" s="146"/>
      <c r="I44" s="146"/>
      <c r="J44" s="144" t="s">
        <v>163</v>
      </c>
      <c r="K44" s="146"/>
      <c r="L44" s="146"/>
      <c r="M44" s="148"/>
    </row>
    <row r="45" customFormat="false" ht="21" hidden="false" customHeight="true" outlineLevel="0" collapsed="false">
      <c r="A45" s="139" t="s">
        <v>909</v>
      </c>
      <c r="B45" s="140" t="s">
        <v>736</v>
      </c>
      <c r="C45" s="141" t="s">
        <v>250</v>
      </c>
      <c r="D45" s="139" t="s">
        <v>737</v>
      </c>
      <c r="E45" s="139" t="s">
        <v>738</v>
      </c>
      <c r="F45" s="139" t="s">
        <v>162</v>
      </c>
      <c r="G45" s="142" t="n">
        <v>45731</v>
      </c>
      <c r="H45" s="141"/>
      <c r="I45" s="141"/>
      <c r="J45" s="139" t="s">
        <v>163</v>
      </c>
      <c r="K45" s="141"/>
      <c r="L45" s="141"/>
      <c r="M45" s="143"/>
    </row>
    <row r="46" customFormat="false" ht="21" hidden="false" customHeight="true" outlineLevel="0" collapsed="false">
      <c r="A46" s="144" t="s">
        <v>909</v>
      </c>
      <c r="B46" s="145" t="s">
        <v>466</v>
      </c>
      <c r="C46" s="146" t="s">
        <v>250</v>
      </c>
      <c r="D46" s="144" t="s">
        <v>467</v>
      </c>
      <c r="E46" s="144" t="s">
        <v>468</v>
      </c>
      <c r="F46" s="144" t="s">
        <v>162</v>
      </c>
      <c r="G46" s="147" t="n">
        <v>45731</v>
      </c>
      <c r="H46" s="146"/>
      <c r="I46" s="146"/>
      <c r="J46" s="144" t="s">
        <v>163</v>
      </c>
      <c r="K46" s="144" t="s">
        <v>469</v>
      </c>
      <c r="L46" s="146"/>
      <c r="M46" s="148"/>
    </row>
    <row r="47" customFormat="false" ht="21" hidden="false" customHeight="true" outlineLevel="0" collapsed="false">
      <c r="A47" s="139" t="s">
        <v>909</v>
      </c>
      <c r="B47" s="140" t="s">
        <v>471</v>
      </c>
      <c r="C47" s="141" t="s">
        <v>250</v>
      </c>
      <c r="D47" s="139" t="s">
        <v>472</v>
      </c>
      <c r="E47" s="139" t="s">
        <v>473</v>
      </c>
      <c r="F47" s="139" t="s">
        <v>162</v>
      </c>
      <c r="G47" s="142" t="n">
        <v>45731</v>
      </c>
      <c r="H47" s="141"/>
      <c r="I47" s="141"/>
      <c r="J47" s="139" t="s">
        <v>163</v>
      </c>
      <c r="K47" s="139" t="s">
        <v>474</v>
      </c>
      <c r="L47" s="141"/>
      <c r="M47" s="143"/>
    </row>
    <row r="48" customFormat="false" ht="21" hidden="false" customHeight="true" outlineLevel="0" collapsed="false">
      <c r="A48" s="144" t="s">
        <v>909</v>
      </c>
      <c r="B48" s="145" t="s">
        <v>476</v>
      </c>
      <c r="C48" s="146" t="s">
        <v>250</v>
      </c>
      <c r="D48" s="144" t="s">
        <v>477</v>
      </c>
      <c r="E48" s="144" t="s">
        <v>478</v>
      </c>
      <c r="F48" s="144" t="s">
        <v>162</v>
      </c>
      <c r="G48" s="147" t="n">
        <v>45706</v>
      </c>
      <c r="H48" s="146"/>
      <c r="I48" s="146"/>
      <c r="J48" s="144" t="s">
        <v>163</v>
      </c>
      <c r="K48" s="146"/>
      <c r="L48" s="146"/>
      <c r="M48" s="148"/>
    </row>
    <row r="49" customFormat="false" ht="21" hidden="false" customHeight="true" outlineLevel="0" collapsed="false">
      <c r="A49" s="139" t="s">
        <v>909</v>
      </c>
      <c r="B49" s="140" t="s">
        <v>480</v>
      </c>
      <c r="C49" s="141" t="s">
        <v>176</v>
      </c>
      <c r="D49" s="139" t="s">
        <v>481</v>
      </c>
      <c r="E49" s="139" t="s">
        <v>482</v>
      </c>
      <c r="F49" s="139" t="s">
        <v>162</v>
      </c>
      <c r="G49" s="142" t="n">
        <v>45731</v>
      </c>
      <c r="H49" s="141"/>
      <c r="I49" s="141"/>
      <c r="J49" s="139" t="s">
        <v>163</v>
      </c>
      <c r="K49" s="141"/>
      <c r="L49" s="141"/>
      <c r="M49" s="143"/>
    </row>
    <row r="50" customFormat="false" ht="21" hidden="false" customHeight="true" outlineLevel="0" collapsed="false">
      <c r="A50" s="144" t="s">
        <v>909</v>
      </c>
      <c r="B50" s="145" t="s">
        <v>484</v>
      </c>
      <c r="C50" s="146" t="s">
        <v>250</v>
      </c>
      <c r="D50" s="144" t="s">
        <v>485</v>
      </c>
      <c r="E50" s="144" t="s">
        <v>486</v>
      </c>
      <c r="F50" s="144" t="s">
        <v>162</v>
      </c>
      <c r="G50" s="147" t="n">
        <v>45720</v>
      </c>
      <c r="H50" s="146"/>
      <c r="I50" s="146"/>
      <c r="J50" s="144" t="s">
        <v>163</v>
      </c>
      <c r="K50" s="146"/>
      <c r="L50" s="146"/>
      <c r="M50" s="148"/>
    </row>
    <row r="51" customFormat="false" ht="21" hidden="false" customHeight="true" outlineLevel="0" collapsed="false">
      <c r="A51" s="139" t="s">
        <v>909</v>
      </c>
      <c r="B51" s="140" t="s">
        <v>488</v>
      </c>
      <c r="C51" s="141" t="s">
        <v>250</v>
      </c>
      <c r="D51" s="139" t="s">
        <v>489</v>
      </c>
      <c r="E51" s="139" t="s">
        <v>490</v>
      </c>
      <c r="F51" s="139" t="s">
        <v>162</v>
      </c>
      <c r="G51" s="142" t="n">
        <v>45780</v>
      </c>
      <c r="H51" s="141"/>
      <c r="I51" s="141"/>
      <c r="J51" s="139" t="s">
        <v>163</v>
      </c>
      <c r="K51" s="139" t="s">
        <v>491</v>
      </c>
      <c r="L51" s="141"/>
      <c r="M51" s="143"/>
    </row>
    <row r="52" customFormat="false" ht="21" hidden="false" customHeight="true" outlineLevel="0" collapsed="false">
      <c r="A52" s="144" t="s">
        <v>909</v>
      </c>
      <c r="B52" s="145" t="s">
        <v>493</v>
      </c>
      <c r="C52" s="146" t="s">
        <v>159</v>
      </c>
      <c r="D52" s="144" t="s">
        <v>494</v>
      </c>
      <c r="E52" s="144" t="s">
        <v>495</v>
      </c>
      <c r="F52" s="144" t="s">
        <v>162</v>
      </c>
      <c r="G52" s="147" t="n">
        <v>45914</v>
      </c>
      <c r="H52" s="146"/>
      <c r="I52" s="146"/>
      <c r="J52" s="144" t="s">
        <v>163</v>
      </c>
      <c r="K52" s="146"/>
      <c r="L52" s="146"/>
      <c r="M52" s="148"/>
    </row>
    <row r="53" customFormat="false" ht="21" hidden="false" customHeight="true" outlineLevel="0" collapsed="false">
      <c r="A53" s="139" t="s">
        <v>909</v>
      </c>
      <c r="B53" s="140" t="s">
        <v>497</v>
      </c>
      <c r="C53" s="141" t="s">
        <v>250</v>
      </c>
      <c r="D53" s="139" t="s">
        <v>498</v>
      </c>
      <c r="E53" s="139" t="s">
        <v>499</v>
      </c>
      <c r="F53" s="139" t="s">
        <v>162</v>
      </c>
      <c r="G53" s="142" t="n">
        <v>45709</v>
      </c>
      <c r="H53" s="141"/>
      <c r="I53" s="141"/>
      <c r="J53" s="139" t="s">
        <v>163</v>
      </c>
      <c r="K53" s="141"/>
      <c r="L53" s="141"/>
      <c r="M53" s="143"/>
    </row>
    <row r="54" customFormat="false" ht="21" hidden="false" customHeight="true" outlineLevel="0" collapsed="false">
      <c r="A54" s="144" t="s">
        <v>909</v>
      </c>
      <c r="B54" s="145" t="s">
        <v>1696</v>
      </c>
      <c r="C54" s="146" t="s">
        <v>250</v>
      </c>
      <c r="D54" s="144" t="s">
        <v>1697</v>
      </c>
      <c r="E54" s="144" t="s">
        <v>1698</v>
      </c>
      <c r="F54" s="144" t="s">
        <v>162</v>
      </c>
      <c r="G54" s="147" t="n">
        <v>46130</v>
      </c>
      <c r="H54" s="146"/>
      <c r="I54" s="146"/>
      <c r="J54" s="144" t="s">
        <v>163</v>
      </c>
      <c r="K54" s="146"/>
      <c r="L54" s="146"/>
      <c r="M54" s="148"/>
    </row>
    <row r="55" customFormat="false" ht="21" hidden="false" customHeight="true" outlineLevel="0" collapsed="false">
      <c r="A55" s="139" t="s">
        <v>909</v>
      </c>
      <c r="B55" s="140" t="s">
        <v>501</v>
      </c>
      <c r="C55" s="141" t="s">
        <v>176</v>
      </c>
      <c r="D55" s="139" t="s">
        <v>502</v>
      </c>
      <c r="E55" s="139" t="s">
        <v>503</v>
      </c>
      <c r="F55" s="139" t="s">
        <v>162</v>
      </c>
      <c r="G55" s="142" t="n">
        <v>45706</v>
      </c>
      <c r="H55" s="141"/>
      <c r="I55" s="141"/>
      <c r="J55" s="139" t="s">
        <v>163</v>
      </c>
      <c r="K55" s="141"/>
      <c r="L55" s="141"/>
      <c r="M55" s="143"/>
    </row>
    <row r="56" customFormat="false" ht="21" hidden="false" customHeight="true" outlineLevel="0" collapsed="false">
      <c r="A56" s="144" t="s">
        <v>909</v>
      </c>
      <c r="B56" s="145" t="s">
        <v>1699</v>
      </c>
      <c r="C56" s="146" t="s">
        <v>176</v>
      </c>
      <c r="D56" s="144" t="s">
        <v>1700</v>
      </c>
      <c r="E56" s="144" t="s">
        <v>1701</v>
      </c>
      <c r="F56" s="144" t="s">
        <v>162</v>
      </c>
      <c r="G56" s="147" t="n">
        <v>46278</v>
      </c>
      <c r="H56" s="146"/>
      <c r="I56" s="146"/>
      <c r="J56" s="144" t="s">
        <v>163</v>
      </c>
      <c r="K56" s="146"/>
      <c r="L56" s="146"/>
      <c r="M56" s="148"/>
    </row>
    <row r="57" customFormat="false" ht="21" hidden="false" customHeight="true" outlineLevel="0" collapsed="false">
      <c r="A57" s="139" t="s">
        <v>909</v>
      </c>
      <c r="B57" s="140" t="s">
        <v>229</v>
      </c>
      <c r="C57" s="141" t="s">
        <v>250</v>
      </c>
      <c r="D57" s="139" t="s">
        <v>230</v>
      </c>
      <c r="E57" s="139" t="s">
        <v>231</v>
      </c>
      <c r="F57" s="139" t="s">
        <v>162</v>
      </c>
      <c r="G57" s="142" t="n">
        <v>45648</v>
      </c>
      <c r="H57" s="141"/>
      <c r="I57" s="141"/>
      <c r="J57" s="139" t="s">
        <v>163</v>
      </c>
      <c r="K57" s="139" t="s">
        <v>232</v>
      </c>
      <c r="L57" s="141"/>
      <c r="M57" s="143"/>
    </row>
    <row r="58" customFormat="false" ht="21" hidden="false" customHeight="true" outlineLevel="0" collapsed="false">
      <c r="A58" s="144" t="s">
        <v>909</v>
      </c>
      <c r="B58" s="145" t="s">
        <v>1702</v>
      </c>
      <c r="C58" s="146" t="s">
        <v>250</v>
      </c>
      <c r="D58" s="144" t="s">
        <v>1703</v>
      </c>
      <c r="E58" s="144" t="s">
        <v>1704</v>
      </c>
      <c r="F58" s="144" t="s">
        <v>162</v>
      </c>
      <c r="G58" s="147" t="n">
        <v>46132</v>
      </c>
      <c r="H58" s="146"/>
      <c r="I58" s="146"/>
      <c r="J58" s="144" t="s">
        <v>163</v>
      </c>
      <c r="K58" s="146"/>
      <c r="L58" s="146"/>
      <c r="M58" s="148"/>
    </row>
    <row r="59" customFormat="false" ht="21" hidden="false" customHeight="true" outlineLevel="0" collapsed="false">
      <c r="A59" s="139" t="s">
        <v>909</v>
      </c>
      <c r="B59" s="140" t="s">
        <v>234</v>
      </c>
      <c r="C59" s="141" t="s">
        <v>176</v>
      </c>
      <c r="D59" s="139" t="s">
        <v>236</v>
      </c>
      <c r="E59" s="139" t="s">
        <v>237</v>
      </c>
      <c r="F59" s="139" t="s">
        <v>162</v>
      </c>
      <c r="G59" s="142" t="n">
        <v>45704</v>
      </c>
      <c r="H59" s="141"/>
      <c r="I59" s="141"/>
      <c r="J59" s="139" t="s">
        <v>163</v>
      </c>
      <c r="K59" s="139" t="s">
        <v>238</v>
      </c>
      <c r="L59" s="141"/>
      <c r="M59" s="143"/>
    </row>
    <row r="60" customFormat="false" ht="21" hidden="false" customHeight="true" outlineLevel="0" collapsed="false">
      <c r="A60" s="144" t="s">
        <v>909</v>
      </c>
      <c r="B60" s="145" t="s">
        <v>626</v>
      </c>
      <c r="C60" s="146" t="s">
        <v>250</v>
      </c>
      <c r="D60" s="144" t="s">
        <v>1705</v>
      </c>
      <c r="E60" s="144" t="s">
        <v>1706</v>
      </c>
      <c r="F60" s="144" t="s">
        <v>162</v>
      </c>
      <c r="G60" s="147" t="n">
        <v>46221</v>
      </c>
      <c r="H60" s="146"/>
      <c r="I60" s="146"/>
      <c r="J60" s="144" t="s">
        <v>163</v>
      </c>
      <c r="K60" s="146"/>
      <c r="L60" s="146"/>
      <c r="M60" s="148"/>
    </row>
    <row r="61" customFormat="false" ht="21" hidden="false" customHeight="true" outlineLevel="0" collapsed="false">
      <c r="A61" s="139" t="s">
        <v>909</v>
      </c>
      <c r="B61" s="140" t="s">
        <v>240</v>
      </c>
      <c r="C61" s="141" t="s">
        <v>250</v>
      </c>
      <c r="D61" s="139" t="s">
        <v>241</v>
      </c>
      <c r="E61" s="139" t="s">
        <v>242</v>
      </c>
      <c r="F61" s="139" t="s">
        <v>162</v>
      </c>
      <c r="G61" s="142" t="n">
        <v>45648</v>
      </c>
      <c r="H61" s="141"/>
      <c r="I61" s="141"/>
      <c r="J61" s="139" t="s">
        <v>163</v>
      </c>
      <c r="K61" s="141"/>
      <c r="L61" s="141"/>
      <c r="M61" s="143"/>
    </row>
    <row r="62" customFormat="false" ht="21" hidden="false" customHeight="true" outlineLevel="0" collapsed="false">
      <c r="A62" s="144" t="s">
        <v>909</v>
      </c>
      <c r="B62" s="145" t="s">
        <v>1707</v>
      </c>
      <c r="C62" s="146" t="s">
        <v>176</v>
      </c>
      <c r="D62" s="144" t="s">
        <v>1708</v>
      </c>
      <c r="E62" s="144" t="s">
        <v>1709</v>
      </c>
      <c r="F62" s="144" t="s">
        <v>162</v>
      </c>
      <c r="G62" s="147" t="n">
        <v>46130</v>
      </c>
      <c r="H62" s="146"/>
      <c r="I62" s="146"/>
      <c r="J62" s="144" t="s">
        <v>163</v>
      </c>
      <c r="K62" s="146"/>
      <c r="L62" s="146"/>
      <c r="M62" s="148"/>
    </row>
    <row r="63" customFormat="false" ht="21" hidden="false" customHeight="true" outlineLevel="0" collapsed="false">
      <c r="A63" s="139" t="s">
        <v>909</v>
      </c>
      <c r="B63" s="140" t="s">
        <v>244</v>
      </c>
      <c r="C63" s="141" t="s">
        <v>250</v>
      </c>
      <c r="D63" s="139" t="s">
        <v>245</v>
      </c>
      <c r="E63" s="139" t="s">
        <v>246</v>
      </c>
      <c r="F63" s="139" t="s">
        <v>162</v>
      </c>
      <c r="G63" s="142" t="n">
        <v>46130</v>
      </c>
      <c r="H63" s="141"/>
      <c r="I63" s="141"/>
      <c r="J63" s="139" t="s">
        <v>163</v>
      </c>
      <c r="K63" s="139" t="s">
        <v>247</v>
      </c>
      <c r="L63" s="141"/>
      <c r="M63" s="143"/>
    </row>
    <row r="64" customFormat="false" ht="21" hidden="false" customHeight="true" outlineLevel="0" collapsed="false">
      <c r="A64" s="144" t="s">
        <v>909</v>
      </c>
      <c r="B64" s="145" t="s">
        <v>1710</v>
      </c>
      <c r="C64" s="146" t="s">
        <v>176</v>
      </c>
      <c r="D64" s="144" t="s">
        <v>1711</v>
      </c>
      <c r="E64" s="144" t="s">
        <v>1712</v>
      </c>
      <c r="F64" s="144" t="s">
        <v>162</v>
      </c>
      <c r="G64" s="147" t="n">
        <v>46221</v>
      </c>
      <c r="H64" s="146"/>
      <c r="I64" s="146"/>
      <c r="J64" s="144" t="s">
        <v>163</v>
      </c>
      <c r="K64" s="146"/>
      <c r="L64" s="146"/>
      <c r="M64" s="148"/>
    </row>
    <row r="65" customFormat="false" ht="21" hidden="false" customHeight="true" outlineLevel="0" collapsed="false">
      <c r="A65" s="139" t="s">
        <v>909</v>
      </c>
      <c r="B65" s="140" t="s">
        <v>249</v>
      </c>
      <c r="C65" s="141" t="s">
        <v>250</v>
      </c>
      <c r="D65" s="139" t="s">
        <v>251</v>
      </c>
      <c r="E65" s="139" t="s">
        <v>252</v>
      </c>
      <c r="F65" s="139" t="s">
        <v>162</v>
      </c>
      <c r="G65" s="142" t="n">
        <v>45706</v>
      </c>
      <c r="H65" s="141"/>
      <c r="I65" s="141"/>
      <c r="J65" s="139" t="s">
        <v>163</v>
      </c>
      <c r="K65" s="141"/>
      <c r="L65" s="141"/>
      <c r="M65" s="143"/>
    </row>
    <row r="66" customFormat="false" ht="21" hidden="false" customHeight="true" outlineLevel="0" collapsed="false">
      <c r="A66" s="144" t="s">
        <v>909</v>
      </c>
      <c r="B66" s="145" t="s">
        <v>609</v>
      </c>
      <c r="C66" s="146" t="s">
        <v>176</v>
      </c>
      <c r="D66" s="144" t="s">
        <v>610</v>
      </c>
      <c r="E66" s="144" t="s">
        <v>1713</v>
      </c>
      <c r="F66" s="144" t="s">
        <v>162</v>
      </c>
      <c r="G66" s="147" t="n">
        <v>46123</v>
      </c>
      <c r="H66" s="146"/>
      <c r="I66" s="146"/>
      <c r="J66" s="144" t="s">
        <v>163</v>
      </c>
      <c r="K66" s="146"/>
      <c r="L66" s="146"/>
      <c r="M66" s="148"/>
    </row>
    <row r="67" customFormat="false" ht="21" hidden="false" customHeight="true" outlineLevel="0" collapsed="false">
      <c r="A67" s="139" t="s">
        <v>909</v>
      </c>
      <c r="B67" s="140" t="s">
        <v>255</v>
      </c>
      <c r="C67" s="141" t="s">
        <v>176</v>
      </c>
      <c r="D67" s="139" t="s">
        <v>256</v>
      </c>
      <c r="E67" s="139" t="s">
        <v>257</v>
      </c>
      <c r="F67" s="139" t="s">
        <v>162</v>
      </c>
      <c r="G67" s="142" t="n">
        <v>46205</v>
      </c>
      <c r="H67" s="141"/>
      <c r="I67" s="141"/>
      <c r="J67" s="139" t="s">
        <v>163</v>
      </c>
      <c r="K67" s="141"/>
      <c r="L67" s="141"/>
      <c r="M67" s="143"/>
    </row>
    <row r="68" customFormat="false" ht="21" hidden="false" customHeight="true" outlineLevel="0" collapsed="false">
      <c r="A68" s="144" t="s">
        <v>909</v>
      </c>
      <c r="B68" s="145" t="s">
        <v>637</v>
      </c>
      <c r="C68" s="146" t="s">
        <v>176</v>
      </c>
      <c r="D68" s="144" t="s">
        <v>1714</v>
      </c>
      <c r="E68" s="144" t="s">
        <v>1715</v>
      </c>
      <c r="F68" s="144" t="s">
        <v>162</v>
      </c>
      <c r="G68" s="147" t="n">
        <v>46196</v>
      </c>
      <c r="H68" s="146"/>
      <c r="I68" s="146"/>
      <c r="J68" s="144" t="s">
        <v>163</v>
      </c>
      <c r="K68" s="146"/>
      <c r="L68" s="146"/>
      <c r="M68" s="148"/>
    </row>
    <row r="69" customFormat="false" ht="21" hidden="false" customHeight="true" outlineLevel="0" collapsed="false">
      <c r="A69" s="139" t="s">
        <v>909</v>
      </c>
      <c r="B69" s="140" t="s">
        <v>260</v>
      </c>
      <c r="C69" s="141" t="s">
        <v>250</v>
      </c>
      <c r="D69" s="139" t="s">
        <v>261</v>
      </c>
      <c r="E69" s="139" t="s">
        <v>262</v>
      </c>
      <c r="F69" s="139" t="s">
        <v>162</v>
      </c>
      <c r="G69" s="142" t="n">
        <v>45585</v>
      </c>
      <c r="H69" s="141"/>
      <c r="I69" s="141"/>
      <c r="J69" s="139" t="s">
        <v>163</v>
      </c>
      <c r="K69" s="141"/>
      <c r="L69" s="141"/>
      <c r="M69" s="143"/>
    </row>
    <row r="70" customFormat="false" ht="21" hidden="false" customHeight="true" outlineLevel="0" collapsed="false">
      <c r="A70" s="144" t="s">
        <v>909</v>
      </c>
      <c r="B70" s="145" t="s">
        <v>630</v>
      </c>
      <c r="C70" s="146" t="s">
        <v>176</v>
      </c>
      <c r="D70" s="144" t="s">
        <v>1716</v>
      </c>
      <c r="E70" s="144" t="s">
        <v>1717</v>
      </c>
      <c r="F70" s="144" t="s">
        <v>162</v>
      </c>
      <c r="G70" s="147" t="n">
        <v>46130</v>
      </c>
      <c r="H70" s="146"/>
      <c r="I70" s="146"/>
      <c r="J70" s="144" t="s">
        <v>163</v>
      </c>
      <c r="K70" s="146"/>
      <c r="L70" s="146"/>
      <c r="M70" s="148"/>
    </row>
    <row r="71" customFormat="false" ht="21" hidden="false" customHeight="true" outlineLevel="0" collapsed="false">
      <c r="A71" s="139" t="s">
        <v>909</v>
      </c>
      <c r="B71" s="140" t="s">
        <v>264</v>
      </c>
      <c r="C71" s="141" t="s">
        <v>176</v>
      </c>
      <c r="D71" s="139" t="s">
        <v>265</v>
      </c>
      <c r="E71" s="139" t="s">
        <v>266</v>
      </c>
      <c r="F71" s="139" t="s">
        <v>162</v>
      </c>
      <c r="G71" s="142" t="n">
        <v>45731</v>
      </c>
      <c r="H71" s="141"/>
      <c r="I71" s="141"/>
      <c r="J71" s="139" t="s">
        <v>163</v>
      </c>
      <c r="K71" s="141"/>
      <c r="L71" s="141"/>
      <c r="M71" s="143"/>
    </row>
    <row r="72" customFormat="false" ht="21" hidden="false" customHeight="true" outlineLevel="0" collapsed="false">
      <c r="A72" s="144" t="s">
        <v>909</v>
      </c>
      <c r="B72" s="145" t="s">
        <v>1718</v>
      </c>
      <c r="C72" s="146" t="s">
        <v>250</v>
      </c>
      <c r="D72" s="144" t="s">
        <v>1719</v>
      </c>
      <c r="E72" s="144" t="s">
        <v>1720</v>
      </c>
      <c r="F72" s="144" t="s">
        <v>162</v>
      </c>
      <c r="G72" s="147" t="n">
        <v>46205</v>
      </c>
      <c r="H72" s="146"/>
      <c r="I72" s="146"/>
      <c r="J72" s="144" t="s">
        <v>163</v>
      </c>
      <c r="K72" s="146"/>
      <c r="L72" s="146"/>
      <c r="M72" s="148"/>
    </row>
    <row r="73" customFormat="false" ht="21" hidden="false" customHeight="true" outlineLevel="0" collapsed="false">
      <c r="A73" s="139" t="s">
        <v>909</v>
      </c>
      <c r="B73" s="140" t="s">
        <v>268</v>
      </c>
      <c r="C73" s="141" t="s">
        <v>250</v>
      </c>
      <c r="D73" s="139" t="s">
        <v>269</v>
      </c>
      <c r="E73" s="139" t="s">
        <v>270</v>
      </c>
      <c r="F73" s="139" t="s">
        <v>162</v>
      </c>
      <c r="G73" s="142" t="n">
        <v>45585</v>
      </c>
      <c r="H73" s="141"/>
      <c r="I73" s="141"/>
      <c r="J73" s="139" t="s">
        <v>163</v>
      </c>
      <c r="K73" s="141"/>
      <c r="L73" s="141"/>
      <c r="M73" s="143"/>
    </row>
    <row r="74" customFormat="false" ht="21" hidden="false" customHeight="true" outlineLevel="0" collapsed="false">
      <c r="A74" s="144" t="s">
        <v>909</v>
      </c>
      <c r="B74" s="145" t="s">
        <v>677</v>
      </c>
      <c r="C74" s="146" t="s">
        <v>506</v>
      </c>
      <c r="D74" s="144" t="s">
        <v>1721</v>
      </c>
      <c r="E74" s="144" t="s">
        <v>679</v>
      </c>
      <c r="F74" s="144" t="s">
        <v>162</v>
      </c>
      <c r="G74" s="147" t="n">
        <v>45600</v>
      </c>
      <c r="H74" s="146"/>
      <c r="I74" s="146"/>
      <c r="J74" s="144" t="s">
        <v>163</v>
      </c>
      <c r="K74" s="146"/>
      <c r="L74" s="146"/>
      <c r="M74" s="148"/>
    </row>
    <row r="75" customFormat="false" ht="21" hidden="false" customHeight="true" outlineLevel="0" collapsed="false">
      <c r="A75" s="139" t="s">
        <v>909</v>
      </c>
      <c r="B75" s="140" t="s">
        <v>641</v>
      </c>
      <c r="C75" s="141" t="s">
        <v>506</v>
      </c>
      <c r="D75" s="139" t="s">
        <v>642</v>
      </c>
      <c r="E75" s="139" t="s">
        <v>643</v>
      </c>
      <c r="F75" s="139" t="s">
        <v>162</v>
      </c>
      <c r="G75" s="142" t="n">
        <v>45600</v>
      </c>
      <c r="H75" s="141"/>
      <c r="I75" s="141"/>
      <c r="J75" s="139" t="s">
        <v>163</v>
      </c>
      <c r="K75" s="141"/>
      <c r="L75" s="141"/>
      <c r="M75" s="143"/>
    </row>
    <row r="76" customFormat="false" ht="21" hidden="false" customHeight="true" outlineLevel="0" collapsed="false">
      <c r="A76" s="144" t="s">
        <v>909</v>
      </c>
      <c r="B76" s="145" t="s">
        <v>272</v>
      </c>
      <c r="C76" s="146" t="s">
        <v>506</v>
      </c>
      <c r="D76" s="144" t="s">
        <v>273</v>
      </c>
      <c r="E76" s="144" t="s">
        <v>274</v>
      </c>
      <c r="F76" s="144" t="s">
        <v>162</v>
      </c>
      <c r="G76" s="147" t="n">
        <v>46278</v>
      </c>
      <c r="H76" s="146"/>
      <c r="I76" s="146"/>
      <c r="J76" s="144" t="s">
        <v>163</v>
      </c>
      <c r="K76" s="146"/>
      <c r="L76" s="146"/>
      <c r="M76" s="148"/>
    </row>
    <row r="77" customFormat="false" ht="21" hidden="false" customHeight="true" outlineLevel="0" collapsed="false">
      <c r="A77" s="139" t="s">
        <v>909</v>
      </c>
      <c r="B77" s="140" t="s">
        <v>681</v>
      </c>
      <c r="C77" s="141" t="s">
        <v>506</v>
      </c>
      <c r="D77" s="139" t="s">
        <v>682</v>
      </c>
      <c r="E77" s="139" t="s">
        <v>683</v>
      </c>
      <c r="F77" s="139" t="s">
        <v>162</v>
      </c>
      <c r="G77" s="142" t="n">
        <v>45614</v>
      </c>
      <c r="H77" s="141"/>
      <c r="I77" s="141"/>
      <c r="J77" s="139" t="s">
        <v>163</v>
      </c>
      <c r="K77" s="141"/>
      <c r="L77" s="141"/>
      <c r="M77" s="143"/>
    </row>
    <row r="78" customFormat="false" ht="21" hidden="false" customHeight="true" outlineLevel="0" collapsed="false">
      <c r="A78" s="144" t="s">
        <v>909</v>
      </c>
      <c r="B78" s="145" t="s">
        <v>276</v>
      </c>
      <c r="C78" s="146" t="s">
        <v>250</v>
      </c>
      <c r="D78" s="144" t="s">
        <v>277</v>
      </c>
      <c r="E78" s="144" t="s">
        <v>278</v>
      </c>
      <c r="F78" s="144" t="s">
        <v>162</v>
      </c>
      <c r="G78" s="147" t="n">
        <v>45704</v>
      </c>
      <c r="H78" s="146"/>
      <c r="I78" s="146"/>
      <c r="J78" s="144" t="s">
        <v>163</v>
      </c>
      <c r="K78" s="144" t="s">
        <v>279</v>
      </c>
      <c r="L78" s="146"/>
      <c r="M78" s="148"/>
    </row>
    <row r="79" customFormat="false" ht="21" hidden="false" customHeight="true" outlineLevel="0" collapsed="false">
      <c r="A79" s="139" t="s">
        <v>909</v>
      </c>
      <c r="B79" s="140" t="s">
        <v>281</v>
      </c>
      <c r="C79" s="141" t="s">
        <v>250</v>
      </c>
      <c r="D79" s="139" t="s">
        <v>282</v>
      </c>
      <c r="E79" s="139" t="s">
        <v>283</v>
      </c>
      <c r="F79" s="139" t="s">
        <v>162</v>
      </c>
      <c r="G79" s="142" t="n">
        <v>46123</v>
      </c>
      <c r="H79" s="141"/>
      <c r="I79" s="141"/>
      <c r="J79" s="139" t="s">
        <v>163</v>
      </c>
      <c r="K79" s="141"/>
      <c r="L79" s="141"/>
      <c r="M79" s="143"/>
    </row>
    <row r="80" customFormat="false" ht="21" hidden="false" customHeight="true" outlineLevel="0" collapsed="false">
      <c r="A80" s="144" t="s">
        <v>909</v>
      </c>
      <c r="B80" s="145" t="s">
        <v>286</v>
      </c>
      <c r="C80" s="146" t="s">
        <v>250</v>
      </c>
      <c r="D80" s="144" t="s">
        <v>287</v>
      </c>
      <c r="E80" s="144" t="s">
        <v>288</v>
      </c>
      <c r="F80" s="144" t="s">
        <v>162</v>
      </c>
      <c r="G80" s="147" t="n">
        <v>45709</v>
      </c>
      <c r="H80" s="146"/>
      <c r="I80" s="146"/>
      <c r="J80" s="144" t="s">
        <v>163</v>
      </c>
      <c r="K80" s="144" t="s">
        <v>290</v>
      </c>
      <c r="L80" s="146"/>
      <c r="M80" s="148"/>
    </row>
    <row r="81" customFormat="false" ht="21" hidden="false" customHeight="true" outlineLevel="0" collapsed="false">
      <c r="A81" s="139" t="s">
        <v>909</v>
      </c>
      <c r="B81" s="140" t="s">
        <v>293</v>
      </c>
      <c r="C81" s="141" t="s">
        <v>250</v>
      </c>
      <c r="D81" s="139" t="s">
        <v>294</v>
      </c>
      <c r="E81" s="139" t="s">
        <v>295</v>
      </c>
      <c r="F81" s="139" t="s">
        <v>162</v>
      </c>
      <c r="G81" s="142" t="n">
        <v>46130</v>
      </c>
      <c r="H81" s="141"/>
      <c r="I81" s="141"/>
      <c r="J81" s="139" t="s">
        <v>163</v>
      </c>
      <c r="K81" s="141"/>
      <c r="L81" s="141"/>
      <c r="M81" s="143"/>
    </row>
    <row r="82" customFormat="false" ht="21" hidden="false" customHeight="true" outlineLevel="0" collapsed="false">
      <c r="A82" s="144" t="s">
        <v>909</v>
      </c>
      <c r="B82" s="145" t="s">
        <v>297</v>
      </c>
      <c r="C82" s="146" t="s">
        <v>506</v>
      </c>
      <c r="D82" s="144" t="s">
        <v>298</v>
      </c>
      <c r="E82" s="144" t="s">
        <v>299</v>
      </c>
      <c r="F82" s="144" t="s">
        <v>162</v>
      </c>
      <c r="G82" s="147" t="n">
        <v>46278</v>
      </c>
      <c r="H82" s="146"/>
      <c r="I82" s="146"/>
      <c r="J82" s="144" t="s">
        <v>163</v>
      </c>
      <c r="K82" s="146"/>
      <c r="L82" s="146"/>
      <c r="M82" s="148"/>
    </row>
    <row r="83" customFormat="false" ht="21" hidden="false" customHeight="true" outlineLevel="0" collapsed="false">
      <c r="A83" s="139" t="s">
        <v>909</v>
      </c>
      <c r="B83" s="140" t="s">
        <v>1722</v>
      </c>
      <c r="C83" s="141" t="s">
        <v>159</v>
      </c>
      <c r="D83" s="139" t="s">
        <v>303</v>
      </c>
      <c r="E83" s="139" t="s">
        <v>304</v>
      </c>
      <c r="F83" s="139" t="s">
        <v>162</v>
      </c>
      <c r="G83" s="142" t="n">
        <v>45914</v>
      </c>
      <c r="H83" s="141"/>
      <c r="I83" s="141"/>
      <c r="J83" s="139" t="s">
        <v>163</v>
      </c>
      <c r="K83" s="141"/>
      <c r="L83" s="141"/>
      <c r="M83" s="143"/>
    </row>
    <row r="84" customFormat="false" ht="21" hidden="false" customHeight="true" outlineLevel="0" collapsed="false">
      <c r="A84" s="144" t="s">
        <v>909</v>
      </c>
      <c r="B84" s="145" t="s">
        <v>306</v>
      </c>
      <c r="C84" s="146" t="s">
        <v>250</v>
      </c>
      <c r="D84" s="144" t="s">
        <v>307</v>
      </c>
      <c r="E84" s="144" t="s">
        <v>308</v>
      </c>
      <c r="F84" s="144" t="s">
        <v>162</v>
      </c>
      <c r="G84" s="147" t="n">
        <v>46042</v>
      </c>
      <c r="H84" s="146"/>
      <c r="I84" s="146"/>
      <c r="J84" s="144" t="s">
        <v>163</v>
      </c>
      <c r="K84" s="146"/>
      <c r="L84" s="146"/>
      <c r="M84" s="148"/>
    </row>
    <row r="85" customFormat="false" ht="21" hidden="false" customHeight="true" outlineLevel="0" collapsed="false">
      <c r="A85" s="139" t="s">
        <v>909</v>
      </c>
      <c r="B85" s="140" t="s">
        <v>312</v>
      </c>
      <c r="C85" s="141" t="s">
        <v>250</v>
      </c>
      <c r="D85" s="139" t="s">
        <v>313</v>
      </c>
      <c r="E85" s="139" t="s">
        <v>314</v>
      </c>
      <c r="F85" s="139" t="s">
        <v>162</v>
      </c>
      <c r="G85" s="142" t="n">
        <v>46130</v>
      </c>
      <c r="H85" s="141"/>
      <c r="I85" s="141"/>
      <c r="J85" s="139" t="s">
        <v>163</v>
      </c>
      <c r="K85" s="141"/>
      <c r="L85" s="141"/>
      <c r="M85" s="143"/>
    </row>
    <row r="86" customFormat="false" ht="21" hidden="false" customHeight="true" outlineLevel="0" collapsed="false">
      <c r="A86" s="144" t="s">
        <v>909</v>
      </c>
      <c r="B86" s="145" t="s">
        <v>316</v>
      </c>
      <c r="C86" s="146" t="s">
        <v>250</v>
      </c>
      <c r="D86" s="144" t="s">
        <v>317</v>
      </c>
      <c r="E86" s="144" t="s">
        <v>318</v>
      </c>
      <c r="F86" s="144" t="s">
        <v>162</v>
      </c>
      <c r="G86" s="147" t="n">
        <v>46205</v>
      </c>
      <c r="H86" s="146"/>
      <c r="I86" s="146"/>
      <c r="J86" s="144" t="s">
        <v>163</v>
      </c>
      <c r="K86" s="146"/>
      <c r="L86" s="146"/>
      <c r="M86" s="148"/>
    </row>
    <row r="87" customFormat="false" ht="21" hidden="false" customHeight="true" outlineLevel="0" collapsed="false">
      <c r="A87" s="139" t="s">
        <v>909</v>
      </c>
      <c r="B87" s="140" t="s">
        <v>320</v>
      </c>
      <c r="C87" s="141" t="s">
        <v>250</v>
      </c>
      <c r="D87" s="139" t="s">
        <v>321</v>
      </c>
      <c r="E87" s="139" t="s">
        <v>322</v>
      </c>
      <c r="F87" s="139" t="s">
        <v>162</v>
      </c>
      <c r="G87" s="142" t="n">
        <v>45731</v>
      </c>
      <c r="H87" s="141"/>
      <c r="I87" s="141"/>
      <c r="J87" s="139" t="s">
        <v>163</v>
      </c>
      <c r="K87" s="139" t="s">
        <v>323</v>
      </c>
      <c r="L87" s="141"/>
      <c r="M87" s="143"/>
    </row>
    <row r="88" customFormat="false" ht="21" hidden="false" customHeight="true" outlineLevel="0" collapsed="false">
      <c r="A88" s="144" t="s">
        <v>909</v>
      </c>
      <c r="B88" s="145" t="s">
        <v>325</v>
      </c>
      <c r="C88" s="146" t="s">
        <v>250</v>
      </c>
      <c r="D88" s="144" t="s">
        <v>326</v>
      </c>
      <c r="E88" s="144" t="s">
        <v>327</v>
      </c>
      <c r="F88" s="144" t="s">
        <v>162</v>
      </c>
      <c r="G88" s="147" t="n">
        <v>45706</v>
      </c>
      <c r="H88" s="146"/>
      <c r="I88" s="146"/>
      <c r="J88" s="144" t="s">
        <v>163</v>
      </c>
      <c r="K88" s="146"/>
      <c r="L88" s="146"/>
      <c r="M88" s="148"/>
    </row>
    <row r="89" customFormat="false" ht="21" hidden="false" customHeight="true" outlineLevel="0" collapsed="false">
      <c r="A89" s="139" t="s">
        <v>909</v>
      </c>
      <c r="B89" s="140" t="s">
        <v>329</v>
      </c>
      <c r="C89" s="141" t="s">
        <v>176</v>
      </c>
      <c r="D89" s="139" t="s">
        <v>330</v>
      </c>
      <c r="E89" s="139" t="s">
        <v>331</v>
      </c>
      <c r="F89" s="139" t="s">
        <v>162</v>
      </c>
      <c r="G89" s="142" t="n">
        <v>45776</v>
      </c>
      <c r="H89" s="141"/>
      <c r="I89" s="141"/>
      <c r="J89" s="139" t="s">
        <v>163</v>
      </c>
      <c r="K89" s="141"/>
      <c r="L89" s="141"/>
      <c r="M89" s="143"/>
    </row>
    <row r="90" customFormat="false" ht="21" hidden="false" customHeight="true" outlineLevel="0" collapsed="false">
      <c r="A90" s="144" t="s">
        <v>909</v>
      </c>
      <c r="B90" s="145" t="s">
        <v>333</v>
      </c>
      <c r="C90" s="146" t="s">
        <v>176</v>
      </c>
      <c r="D90" s="144" t="s">
        <v>334</v>
      </c>
      <c r="E90" s="144" t="s">
        <v>335</v>
      </c>
      <c r="F90" s="144" t="s">
        <v>162</v>
      </c>
      <c r="G90" s="147" t="n">
        <v>45914</v>
      </c>
      <c r="H90" s="146"/>
      <c r="I90" s="146"/>
      <c r="J90" s="144" t="s">
        <v>163</v>
      </c>
      <c r="K90" s="146"/>
      <c r="L90" s="146"/>
      <c r="M90" s="148"/>
    </row>
    <row r="91" customFormat="false" ht="21" hidden="false" customHeight="true" outlineLevel="0" collapsed="false">
      <c r="A91" s="139" t="s">
        <v>909</v>
      </c>
      <c r="B91" s="140" t="s">
        <v>337</v>
      </c>
      <c r="C91" s="141" t="s">
        <v>176</v>
      </c>
      <c r="D91" s="139" t="s">
        <v>338</v>
      </c>
      <c r="E91" s="139" t="s">
        <v>339</v>
      </c>
      <c r="F91" s="139" t="s">
        <v>162</v>
      </c>
      <c r="G91" s="142" t="n">
        <v>45914</v>
      </c>
      <c r="H91" s="141"/>
      <c r="I91" s="141"/>
      <c r="J91" s="139" t="s">
        <v>163</v>
      </c>
      <c r="K91" s="141"/>
      <c r="L91" s="141"/>
      <c r="M91" s="143"/>
    </row>
    <row r="92" customFormat="false" ht="21" hidden="false" customHeight="true" outlineLevel="0" collapsed="false">
      <c r="A92" s="144" t="s">
        <v>909</v>
      </c>
      <c r="B92" s="145" t="s">
        <v>341</v>
      </c>
      <c r="C92" s="146" t="s">
        <v>250</v>
      </c>
      <c r="D92" s="144" t="s">
        <v>342</v>
      </c>
      <c r="E92" s="144" t="s">
        <v>343</v>
      </c>
      <c r="F92" s="144" t="s">
        <v>162</v>
      </c>
      <c r="G92" s="147" t="n">
        <v>45950</v>
      </c>
      <c r="H92" s="146"/>
      <c r="I92" s="146"/>
      <c r="J92" s="144" t="s">
        <v>163</v>
      </c>
      <c r="K92" s="146"/>
      <c r="L92" s="146"/>
      <c r="M92" s="148"/>
    </row>
    <row r="93" customFormat="false" ht="21" hidden="false" customHeight="true" outlineLevel="0" collapsed="false">
      <c r="A93" s="139" t="s">
        <v>909</v>
      </c>
      <c r="B93" s="140" t="s">
        <v>345</v>
      </c>
      <c r="C93" s="141" t="s">
        <v>176</v>
      </c>
      <c r="D93" s="139" t="s">
        <v>346</v>
      </c>
      <c r="E93" s="139" t="s">
        <v>347</v>
      </c>
      <c r="F93" s="139" t="s">
        <v>162</v>
      </c>
      <c r="G93" s="142" t="n">
        <v>45914</v>
      </c>
      <c r="H93" s="141"/>
      <c r="I93" s="141"/>
      <c r="J93" s="139" t="s">
        <v>163</v>
      </c>
      <c r="K93" s="141"/>
      <c r="L93" s="141"/>
      <c r="M93" s="143"/>
    </row>
    <row r="94" customFormat="false" ht="21" hidden="false" customHeight="true" outlineLevel="0" collapsed="false">
      <c r="A94" s="144" t="s">
        <v>909</v>
      </c>
      <c r="B94" s="145" t="s">
        <v>349</v>
      </c>
      <c r="C94" s="146" t="s">
        <v>159</v>
      </c>
      <c r="D94" s="144" t="s">
        <v>350</v>
      </c>
      <c r="E94" s="144" t="s">
        <v>351</v>
      </c>
      <c r="F94" s="144" t="s">
        <v>162</v>
      </c>
      <c r="G94" s="147" t="n">
        <v>45704</v>
      </c>
      <c r="H94" s="146"/>
      <c r="I94" s="146"/>
      <c r="J94" s="144" t="s">
        <v>163</v>
      </c>
      <c r="K94" s="144" t="s">
        <v>910</v>
      </c>
      <c r="L94" s="146"/>
      <c r="M94" s="148"/>
    </row>
    <row r="95" customFormat="false" ht="21" hidden="false" customHeight="true" outlineLevel="0" collapsed="false">
      <c r="A95" s="139" t="s">
        <v>909</v>
      </c>
      <c r="B95" s="140" t="s">
        <v>599</v>
      </c>
      <c r="C95" s="141" t="s">
        <v>302</v>
      </c>
      <c r="D95" s="139" t="s">
        <v>1723</v>
      </c>
      <c r="E95" s="139" t="s">
        <v>1724</v>
      </c>
      <c r="F95" s="139" t="s">
        <v>162</v>
      </c>
      <c r="G95" s="142" t="n">
        <v>46123</v>
      </c>
      <c r="H95" s="141"/>
      <c r="I95" s="141"/>
      <c r="J95" s="139" t="s">
        <v>163</v>
      </c>
      <c r="K95" s="141"/>
      <c r="L95" s="141"/>
      <c r="M95" s="143"/>
    </row>
    <row r="96" customFormat="false" ht="21" hidden="false" customHeight="true" outlineLevel="0" collapsed="false">
      <c r="A96" s="144" t="s">
        <v>909</v>
      </c>
      <c r="B96" s="145" t="s">
        <v>668</v>
      </c>
      <c r="C96" s="146" t="s">
        <v>302</v>
      </c>
      <c r="D96" s="144" t="s">
        <v>1725</v>
      </c>
      <c r="E96" s="144" t="s">
        <v>1726</v>
      </c>
      <c r="F96" s="144" t="s">
        <v>162</v>
      </c>
      <c r="G96" s="147" t="n">
        <v>46205</v>
      </c>
      <c r="H96" s="146"/>
      <c r="I96" s="146"/>
      <c r="J96" s="144" t="s">
        <v>163</v>
      </c>
      <c r="K96" s="146"/>
      <c r="L96" s="146"/>
      <c r="M96" s="148"/>
    </row>
    <row r="97" customFormat="false" ht="21" hidden="false" customHeight="true" outlineLevel="0" collapsed="false">
      <c r="A97" s="139" t="s">
        <v>909</v>
      </c>
      <c r="B97" s="140" t="s">
        <v>354</v>
      </c>
      <c r="C97" s="141" t="s">
        <v>600</v>
      </c>
      <c r="D97" s="139" t="s">
        <v>355</v>
      </c>
      <c r="E97" s="139" t="s">
        <v>356</v>
      </c>
      <c r="F97" s="139" t="s">
        <v>162</v>
      </c>
      <c r="G97" s="142" t="n">
        <v>45585</v>
      </c>
      <c r="H97" s="141"/>
      <c r="I97" s="141"/>
      <c r="J97" s="139" t="s">
        <v>163</v>
      </c>
      <c r="K97" s="141"/>
      <c r="L97" s="141"/>
      <c r="M97" s="143"/>
    </row>
    <row r="98" customFormat="false" ht="21" hidden="false" customHeight="true" outlineLevel="0" collapsed="false">
      <c r="A98" s="144" t="s">
        <v>909</v>
      </c>
      <c r="B98" s="145" t="s">
        <v>655</v>
      </c>
      <c r="C98" s="146" t="s">
        <v>250</v>
      </c>
      <c r="D98" s="144" t="s">
        <v>656</v>
      </c>
      <c r="E98" s="144" t="s">
        <v>1727</v>
      </c>
      <c r="F98" s="144" t="s">
        <v>162</v>
      </c>
      <c r="G98" s="147" t="n">
        <v>46132</v>
      </c>
      <c r="H98" s="146"/>
      <c r="I98" s="146"/>
      <c r="J98" s="144" t="s">
        <v>163</v>
      </c>
      <c r="K98" s="146"/>
      <c r="L98" s="146"/>
      <c r="M98" s="148"/>
    </row>
    <row r="99" customFormat="false" ht="21" hidden="false" customHeight="true" outlineLevel="0" collapsed="false">
      <c r="A99" s="139" t="s">
        <v>909</v>
      </c>
      <c r="B99" s="140" t="s">
        <v>622</v>
      </c>
      <c r="C99" s="141" t="s">
        <v>506</v>
      </c>
      <c r="D99" s="139" t="s">
        <v>623</v>
      </c>
      <c r="E99" s="139" t="s">
        <v>1728</v>
      </c>
      <c r="F99" s="139" t="s">
        <v>162</v>
      </c>
      <c r="G99" s="142" t="n">
        <v>46042</v>
      </c>
      <c r="H99" s="141"/>
      <c r="I99" s="141"/>
      <c r="J99" s="139" t="s">
        <v>163</v>
      </c>
      <c r="K99" s="141"/>
      <c r="L99" s="141"/>
      <c r="M99" s="143"/>
    </row>
    <row r="100" customFormat="false" ht="21" hidden="false" customHeight="true" outlineLevel="0" collapsed="false">
      <c r="A100" s="144" t="s">
        <v>909</v>
      </c>
      <c r="B100" s="145" t="s">
        <v>505</v>
      </c>
      <c r="C100" s="146" t="s">
        <v>600</v>
      </c>
      <c r="D100" s="144" t="s">
        <v>507</v>
      </c>
      <c r="E100" s="144" t="s">
        <v>508</v>
      </c>
      <c r="F100" s="144" t="s">
        <v>162</v>
      </c>
      <c r="G100" s="147" t="n">
        <v>46278</v>
      </c>
      <c r="H100" s="146"/>
      <c r="I100" s="146"/>
      <c r="J100" s="144" t="s">
        <v>163</v>
      </c>
      <c r="K100" s="144" t="s">
        <v>509</v>
      </c>
      <c r="L100" s="146"/>
      <c r="M100" s="148"/>
    </row>
    <row r="101" customFormat="false" ht="21" hidden="false" customHeight="true" outlineLevel="0" collapsed="false">
      <c r="A101" s="139" t="s">
        <v>909</v>
      </c>
      <c r="B101" s="140" t="s">
        <v>511</v>
      </c>
      <c r="C101" s="141" t="s">
        <v>250</v>
      </c>
      <c r="D101" s="139" t="s">
        <v>512</v>
      </c>
      <c r="E101" s="139" t="s">
        <v>513</v>
      </c>
      <c r="F101" s="139" t="s">
        <v>162</v>
      </c>
      <c r="G101" s="142" t="n">
        <v>45723</v>
      </c>
      <c r="H101" s="141"/>
      <c r="I101" s="141"/>
      <c r="J101" s="139" t="s">
        <v>163</v>
      </c>
      <c r="K101" s="141"/>
      <c r="L101" s="141"/>
      <c r="M101" s="143"/>
    </row>
    <row r="102" customFormat="false" ht="21" hidden="false" customHeight="true" outlineLevel="0" collapsed="false">
      <c r="A102" s="144" t="s">
        <v>909</v>
      </c>
      <c r="B102" s="145" t="s">
        <v>358</v>
      </c>
      <c r="C102" s="146" t="s">
        <v>1729</v>
      </c>
      <c r="D102" s="144" t="s">
        <v>359</v>
      </c>
      <c r="E102" s="144" t="s">
        <v>360</v>
      </c>
      <c r="F102" s="144" t="s">
        <v>361</v>
      </c>
      <c r="G102" s="147" t="n">
        <v>45411</v>
      </c>
      <c r="H102" s="146"/>
      <c r="I102" s="146"/>
      <c r="J102" s="144" t="s">
        <v>1730</v>
      </c>
      <c r="K102" s="144" t="s">
        <v>362</v>
      </c>
      <c r="L102" s="146"/>
      <c r="M102" s="148"/>
    </row>
    <row r="103" customFormat="false" ht="21" hidden="false" customHeight="true" outlineLevel="0" collapsed="false">
      <c r="A103" s="139" t="s">
        <v>909</v>
      </c>
      <c r="B103" s="140" t="s">
        <v>369</v>
      </c>
      <c r="C103" s="141" t="s">
        <v>250</v>
      </c>
      <c r="D103" s="139" t="s">
        <v>370</v>
      </c>
      <c r="E103" s="139" t="s">
        <v>371</v>
      </c>
      <c r="F103" s="139" t="s">
        <v>162</v>
      </c>
      <c r="G103" s="142" t="n">
        <v>45585</v>
      </c>
      <c r="H103" s="141"/>
      <c r="I103" s="141"/>
      <c r="J103" s="139" t="s">
        <v>163</v>
      </c>
      <c r="K103" s="141"/>
      <c r="L103" s="141"/>
      <c r="M103" s="143"/>
    </row>
    <row r="104" customFormat="false" ht="21" hidden="false" customHeight="true" outlineLevel="0" collapsed="false">
      <c r="A104" s="144" t="s">
        <v>909</v>
      </c>
      <c r="B104" s="145" t="s">
        <v>515</v>
      </c>
      <c r="C104" s="146" t="s">
        <v>159</v>
      </c>
      <c r="D104" s="144" t="s">
        <v>516</v>
      </c>
      <c r="E104" s="144" t="s">
        <v>1731</v>
      </c>
      <c r="F104" s="144" t="s">
        <v>162</v>
      </c>
      <c r="G104" s="147" t="n">
        <v>46123</v>
      </c>
      <c r="H104" s="146"/>
      <c r="I104" s="146"/>
      <c r="J104" s="144" t="s">
        <v>163</v>
      </c>
      <c r="K104" s="144" t="s">
        <v>518</v>
      </c>
      <c r="L104" s="146"/>
      <c r="M104" s="148"/>
    </row>
    <row r="105" customFormat="false" ht="21" hidden="false" customHeight="true" outlineLevel="0" collapsed="false">
      <c r="A105" s="139" t="s">
        <v>909</v>
      </c>
      <c r="B105" s="140" t="s">
        <v>663</v>
      </c>
      <c r="C105" s="141" t="s">
        <v>191</v>
      </c>
      <c r="D105" s="139" t="s">
        <v>665</v>
      </c>
      <c r="E105" s="139" t="s">
        <v>1732</v>
      </c>
      <c r="F105" s="139" t="s">
        <v>162</v>
      </c>
      <c r="G105" s="142" t="n">
        <v>46123</v>
      </c>
      <c r="H105" s="141"/>
      <c r="I105" s="141"/>
      <c r="J105" s="139" t="s">
        <v>163</v>
      </c>
      <c r="K105" s="141"/>
      <c r="L105" s="141"/>
      <c r="M105" s="143"/>
    </row>
    <row r="106" customFormat="false" ht="21" hidden="false" customHeight="true" outlineLevel="0" collapsed="false">
      <c r="A106" s="144" t="s">
        <v>909</v>
      </c>
      <c r="B106" s="145" t="s">
        <v>376</v>
      </c>
      <c r="C106" s="146" t="s">
        <v>176</v>
      </c>
      <c r="D106" s="144" t="s">
        <v>377</v>
      </c>
      <c r="E106" s="144" t="s">
        <v>378</v>
      </c>
      <c r="F106" s="144" t="s">
        <v>162</v>
      </c>
      <c r="G106" s="147" t="n">
        <v>45983</v>
      </c>
      <c r="H106" s="146"/>
      <c r="I106" s="144" t="s">
        <v>309</v>
      </c>
      <c r="J106" s="144" t="s">
        <v>310</v>
      </c>
      <c r="K106" s="144" t="s">
        <v>380</v>
      </c>
      <c r="L106" s="146"/>
      <c r="M106" s="148"/>
    </row>
    <row r="107" customFormat="false" ht="21" hidden="false" customHeight="true" outlineLevel="0" collapsed="false">
      <c r="A107" s="139" t="s">
        <v>909</v>
      </c>
      <c r="B107" s="140" t="s">
        <v>382</v>
      </c>
      <c r="C107" s="141" t="s">
        <v>159</v>
      </c>
      <c r="D107" s="139" t="s">
        <v>383</v>
      </c>
      <c r="E107" s="139" t="s">
        <v>384</v>
      </c>
      <c r="F107" s="139" t="s">
        <v>162</v>
      </c>
      <c r="G107" s="142" t="n">
        <v>46059</v>
      </c>
      <c r="H107" s="141"/>
      <c r="I107" s="139" t="s">
        <v>309</v>
      </c>
      <c r="J107" s="139" t="s">
        <v>310</v>
      </c>
      <c r="K107" s="139" t="s">
        <v>385</v>
      </c>
      <c r="L107" s="141"/>
      <c r="M107" s="143"/>
    </row>
    <row r="108" customFormat="false" ht="21" hidden="false" customHeight="true" outlineLevel="0" collapsed="false">
      <c r="A108" s="144" t="s">
        <v>909</v>
      </c>
      <c r="B108" s="145" t="s">
        <v>1733</v>
      </c>
      <c r="C108" s="146" t="s">
        <v>250</v>
      </c>
      <c r="D108" s="144" t="s">
        <v>521</v>
      </c>
      <c r="E108" s="144" t="s">
        <v>1734</v>
      </c>
      <c r="F108" s="144" t="s">
        <v>162</v>
      </c>
      <c r="G108" s="147" t="n">
        <v>46129</v>
      </c>
      <c r="H108" s="146"/>
      <c r="I108" s="144" t="s">
        <v>309</v>
      </c>
      <c r="J108" s="144" t="s">
        <v>1735</v>
      </c>
      <c r="K108" s="146"/>
      <c r="L108" s="146"/>
      <c r="M108" s="148"/>
    </row>
    <row r="109" customFormat="false" ht="21" hidden="false" customHeight="true" outlineLevel="0" collapsed="false">
      <c r="A109" s="139" t="s">
        <v>909</v>
      </c>
      <c r="B109" s="140" t="s">
        <v>387</v>
      </c>
      <c r="C109" s="141" t="s">
        <v>250</v>
      </c>
      <c r="D109" s="139" t="s">
        <v>388</v>
      </c>
      <c r="E109" s="139" t="s">
        <v>389</v>
      </c>
      <c r="F109" s="139" t="s">
        <v>162</v>
      </c>
      <c r="G109" s="142" t="n">
        <v>46266</v>
      </c>
      <c r="H109" s="141"/>
      <c r="I109" s="139" t="s">
        <v>309</v>
      </c>
      <c r="J109" s="139" t="s">
        <v>1736</v>
      </c>
      <c r="K109" s="139" t="s">
        <v>392</v>
      </c>
      <c r="L109" s="141"/>
      <c r="M109" s="143"/>
    </row>
    <row r="110" customFormat="false" ht="21" hidden="false" customHeight="true" outlineLevel="0" collapsed="false">
      <c r="A110" s="144" t="s">
        <v>909</v>
      </c>
      <c r="B110" s="145" t="s">
        <v>394</v>
      </c>
      <c r="C110" s="146" t="s">
        <v>250</v>
      </c>
      <c r="D110" s="144" t="s">
        <v>395</v>
      </c>
      <c r="E110" s="144" t="s">
        <v>396</v>
      </c>
      <c r="F110" s="144" t="s">
        <v>162</v>
      </c>
      <c r="G110" s="147" t="n">
        <v>45712</v>
      </c>
      <c r="H110" s="146"/>
      <c r="I110" s="144" t="s">
        <v>309</v>
      </c>
      <c r="J110" s="144" t="s">
        <v>310</v>
      </c>
      <c r="K110" s="144" t="s">
        <v>397</v>
      </c>
      <c r="L110" s="146"/>
      <c r="M110" s="148"/>
    </row>
    <row r="111" customFormat="false" ht="21" hidden="false" customHeight="true" outlineLevel="0" collapsed="false">
      <c r="A111" s="139" t="s">
        <v>909</v>
      </c>
      <c r="B111" s="140" t="s">
        <v>524</v>
      </c>
      <c r="C111" s="141" t="s">
        <v>1737</v>
      </c>
      <c r="D111" s="139" t="s">
        <v>526</v>
      </c>
      <c r="E111" s="139" t="s">
        <v>527</v>
      </c>
      <c r="F111" s="139" t="s">
        <v>162</v>
      </c>
      <c r="G111" s="142" t="n">
        <v>46069</v>
      </c>
      <c r="H111" s="141"/>
      <c r="I111" s="139" t="s">
        <v>309</v>
      </c>
      <c r="J111" s="139" t="s">
        <v>528</v>
      </c>
      <c r="K111" s="141"/>
      <c r="L111" s="141"/>
      <c r="M111" s="143"/>
    </row>
    <row r="112" customFormat="false" ht="21" hidden="false" customHeight="true" outlineLevel="0" collapsed="false">
      <c r="A112" s="144" t="s">
        <v>909</v>
      </c>
      <c r="B112" s="145" t="s">
        <v>530</v>
      </c>
      <c r="C112" s="146" t="s">
        <v>664</v>
      </c>
      <c r="D112" s="144" t="s">
        <v>532</v>
      </c>
      <c r="E112" s="144" t="s">
        <v>533</v>
      </c>
      <c r="F112" s="144" t="s">
        <v>162</v>
      </c>
      <c r="G112" s="147" t="n">
        <v>46150</v>
      </c>
      <c r="H112" s="146"/>
      <c r="I112" s="144" t="s">
        <v>309</v>
      </c>
      <c r="J112" s="144" t="s">
        <v>528</v>
      </c>
      <c r="K112" s="146"/>
      <c r="L112" s="146"/>
      <c r="M112" s="148"/>
    </row>
    <row r="113" customFormat="false" ht="21" hidden="false" customHeight="true" outlineLevel="0" collapsed="false">
      <c r="A113" s="139" t="s">
        <v>909</v>
      </c>
      <c r="B113" s="140" t="s">
        <v>1215</v>
      </c>
      <c r="C113" s="141" t="s">
        <v>302</v>
      </c>
      <c r="D113" s="139" t="s">
        <v>1216</v>
      </c>
      <c r="E113" s="139" t="s">
        <v>1217</v>
      </c>
      <c r="F113" s="139" t="s">
        <v>162</v>
      </c>
      <c r="G113" s="142" t="n">
        <v>45523</v>
      </c>
      <c r="H113" s="141"/>
      <c r="I113" s="139" t="s">
        <v>309</v>
      </c>
      <c r="J113" s="139" t="s">
        <v>1738</v>
      </c>
      <c r="K113" s="141"/>
      <c r="L113" s="141"/>
      <c r="M113" s="143"/>
    </row>
    <row r="114" customFormat="false" ht="21" hidden="false" customHeight="true" outlineLevel="0" collapsed="false">
      <c r="A114" s="144" t="s">
        <v>909</v>
      </c>
      <c r="B114" s="145" t="s">
        <v>399</v>
      </c>
      <c r="C114" s="146" t="s">
        <v>159</v>
      </c>
      <c r="D114" s="144" t="s">
        <v>400</v>
      </c>
      <c r="E114" s="144" t="s">
        <v>401</v>
      </c>
      <c r="F114" s="144" t="s">
        <v>162</v>
      </c>
      <c r="G114" s="147" t="n">
        <v>45984</v>
      </c>
      <c r="H114" s="146"/>
      <c r="I114" s="144" t="s">
        <v>309</v>
      </c>
      <c r="J114" s="144" t="s">
        <v>310</v>
      </c>
      <c r="K114" s="144" t="s">
        <v>402</v>
      </c>
      <c r="L114" s="146"/>
      <c r="M114" s="148"/>
    </row>
    <row r="115" customFormat="false" ht="21" hidden="false" customHeight="true" outlineLevel="0" collapsed="false">
      <c r="A115" s="139" t="s">
        <v>909</v>
      </c>
      <c r="B115" s="140" t="s">
        <v>404</v>
      </c>
      <c r="C115" s="141" t="s">
        <v>176</v>
      </c>
      <c r="D115" s="139" t="s">
        <v>405</v>
      </c>
      <c r="E115" s="139" t="s">
        <v>406</v>
      </c>
      <c r="F115" s="139" t="s">
        <v>162</v>
      </c>
      <c r="G115" s="142" t="n">
        <v>45983</v>
      </c>
      <c r="H115" s="141"/>
      <c r="I115" s="139" t="s">
        <v>309</v>
      </c>
      <c r="J115" s="139" t="s">
        <v>310</v>
      </c>
      <c r="K115" s="139" t="s">
        <v>407</v>
      </c>
      <c r="L115" s="141"/>
      <c r="M115" s="143"/>
    </row>
    <row r="116" customFormat="false" ht="21" hidden="false" customHeight="true" outlineLevel="0" collapsed="false">
      <c r="A116" s="144" t="s">
        <v>909</v>
      </c>
      <c r="B116" s="145" t="s">
        <v>409</v>
      </c>
      <c r="C116" s="146" t="s">
        <v>176</v>
      </c>
      <c r="D116" s="144" t="s">
        <v>410</v>
      </c>
      <c r="E116" s="144" t="s">
        <v>411</v>
      </c>
      <c r="F116" s="144" t="s">
        <v>162</v>
      </c>
      <c r="G116" s="147" t="n">
        <v>46159</v>
      </c>
      <c r="H116" s="146"/>
      <c r="I116" s="144" t="s">
        <v>309</v>
      </c>
      <c r="J116" s="144" t="s">
        <v>1739</v>
      </c>
      <c r="K116" s="146"/>
      <c r="L116" s="146"/>
      <c r="M116" s="148"/>
    </row>
    <row r="117" customFormat="false" ht="21" hidden="false" customHeight="true" outlineLevel="0" collapsed="false">
      <c r="A117" s="139" t="s">
        <v>909</v>
      </c>
      <c r="B117" s="140" t="s">
        <v>414</v>
      </c>
      <c r="C117" s="141" t="s">
        <v>250</v>
      </c>
      <c r="D117" s="139" t="s">
        <v>415</v>
      </c>
      <c r="E117" s="139" t="s">
        <v>416</v>
      </c>
      <c r="F117" s="139" t="s">
        <v>162</v>
      </c>
      <c r="G117" s="142" t="n">
        <v>45362</v>
      </c>
      <c r="H117" s="141"/>
      <c r="I117" s="139" t="s">
        <v>309</v>
      </c>
      <c r="J117" s="139" t="s">
        <v>310</v>
      </c>
      <c r="K117" s="139" t="s">
        <v>417</v>
      </c>
      <c r="L117" s="141"/>
      <c r="M117" s="143"/>
    </row>
    <row r="118" customFormat="false" ht="21" hidden="false" customHeight="true" outlineLevel="0" collapsed="false">
      <c r="A118" s="144" t="s">
        <v>909</v>
      </c>
      <c r="B118" s="145" t="s">
        <v>419</v>
      </c>
      <c r="C118" s="146" t="s">
        <v>159</v>
      </c>
      <c r="D118" s="144" t="s">
        <v>420</v>
      </c>
      <c r="E118" s="144" t="s">
        <v>421</v>
      </c>
      <c r="F118" s="144" t="s">
        <v>162</v>
      </c>
      <c r="G118" s="147" t="n">
        <v>45661</v>
      </c>
      <c r="H118" s="146"/>
      <c r="I118" s="144" t="s">
        <v>309</v>
      </c>
      <c r="J118" s="144" t="s">
        <v>310</v>
      </c>
      <c r="K118" s="144" t="s">
        <v>422</v>
      </c>
      <c r="L118" s="146"/>
      <c r="M118" s="148"/>
    </row>
    <row r="119" customFormat="false" ht="21" hidden="false" customHeight="true" outlineLevel="0" collapsed="false">
      <c r="A119" s="139" t="s">
        <v>909</v>
      </c>
      <c r="B119" s="140" t="s">
        <v>424</v>
      </c>
      <c r="C119" s="141" t="s">
        <v>250</v>
      </c>
      <c r="D119" s="139" t="s">
        <v>425</v>
      </c>
      <c r="E119" s="139" t="s">
        <v>426</v>
      </c>
      <c r="F119" s="139" t="s">
        <v>162</v>
      </c>
      <c r="G119" s="142" t="n">
        <v>45936</v>
      </c>
      <c r="H119" s="141"/>
      <c r="I119" s="139" t="s">
        <v>309</v>
      </c>
      <c r="J119" s="139" t="s">
        <v>310</v>
      </c>
      <c r="K119" s="141"/>
      <c r="L119" s="141"/>
      <c r="M119" s="143"/>
    </row>
    <row r="120" customFormat="false" ht="21" hidden="false" customHeight="true" outlineLevel="0" collapsed="false">
      <c r="A120" s="144" t="s">
        <v>909</v>
      </c>
      <c r="B120" s="145" t="s">
        <v>429</v>
      </c>
      <c r="C120" s="146" t="s">
        <v>159</v>
      </c>
      <c r="D120" s="144" t="s">
        <v>430</v>
      </c>
      <c r="E120" s="144" t="s">
        <v>431</v>
      </c>
      <c r="F120" s="144" t="s">
        <v>162</v>
      </c>
      <c r="G120" s="147" t="n">
        <v>46095</v>
      </c>
      <c r="H120" s="146"/>
      <c r="I120" s="144" t="s">
        <v>309</v>
      </c>
      <c r="J120" s="144" t="s">
        <v>310</v>
      </c>
      <c r="K120" s="144" t="s">
        <v>432</v>
      </c>
      <c r="L120" s="146"/>
      <c r="M120" s="148"/>
    </row>
    <row r="121" customFormat="false" ht="21" hidden="false" customHeight="true" outlineLevel="0" collapsed="false">
      <c r="A121" s="139" t="s">
        <v>909</v>
      </c>
      <c r="B121" s="140" t="s">
        <v>434</v>
      </c>
      <c r="C121" s="141" t="s">
        <v>159</v>
      </c>
      <c r="D121" s="139" t="s">
        <v>435</v>
      </c>
      <c r="E121" s="139" t="s">
        <v>436</v>
      </c>
      <c r="F121" s="139" t="s">
        <v>162</v>
      </c>
      <c r="G121" s="142" t="n">
        <v>46028</v>
      </c>
      <c r="H121" s="141"/>
      <c r="I121" s="139" t="s">
        <v>309</v>
      </c>
      <c r="J121" s="139" t="s">
        <v>1740</v>
      </c>
      <c r="K121" s="141"/>
      <c r="L121" s="141"/>
      <c r="M121" s="143"/>
    </row>
    <row r="122" customFormat="false" ht="21" hidden="false" customHeight="true" outlineLevel="0" collapsed="false">
      <c r="A122" s="144" t="s">
        <v>909</v>
      </c>
      <c r="B122" s="145" t="s">
        <v>535</v>
      </c>
      <c r="C122" s="146" t="s">
        <v>1741</v>
      </c>
      <c r="D122" s="144" t="s">
        <v>536</v>
      </c>
      <c r="E122" s="144" t="s">
        <v>537</v>
      </c>
      <c r="F122" s="144" t="s">
        <v>361</v>
      </c>
      <c r="G122" s="147" t="n">
        <v>45159</v>
      </c>
      <c r="H122" s="146"/>
      <c r="I122" s="144" t="s">
        <v>309</v>
      </c>
      <c r="J122" s="144" t="s">
        <v>538</v>
      </c>
      <c r="K122" s="146"/>
      <c r="L122" s="146"/>
      <c r="M122" s="148"/>
    </row>
    <row r="123" customFormat="false" ht="21" hidden="false" customHeight="true" outlineLevel="0" collapsed="false">
      <c r="A123" s="139" t="s">
        <v>909</v>
      </c>
      <c r="B123" s="140" t="s">
        <v>540</v>
      </c>
      <c r="C123" s="141" t="s">
        <v>250</v>
      </c>
      <c r="D123" s="139" t="s">
        <v>541</v>
      </c>
      <c r="E123" s="139" t="s">
        <v>1742</v>
      </c>
      <c r="F123" s="139" t="s">
        <v>162</v>
      </c>
      <c r="G123" s="142" t="n">
        <v>45831</v>
      </c>
      <c r="H123" s="141"/>
      <c r="I123" s="139" t="s">
        <v>309</v>
      </c>
      <c r="J123" s="139" t="s">
        <v>538</v>
      </c>
      <c r="K123" s="141"/>
      <c r="L123" s="141"/>
      <c r="M123" s="143"/>
    </row>
    <row r="124" customFormat="false" ht="21" hidden="false" customHeight="true" outlineLevel="0" collapsed="false">
      <c r="A124" s="144" t="s">
        <v>909</v>
      </c>
      <c r="B124" s="145" t="s">
        <v>592</v>
      </c>
      <c r="C124" s="146" t="s">
        <v>600</v>
      </c>
      <c r="D124" s="144" t="s">
        <v>593</v>
      </c>
      <c r="E124" s="144" t="s">
        <v>1743</v>
      </c>
      <c r="F124" s="144" t="s">
        <v>162</v>
      </c>
      <c r="G124" s="147" t="n">
        <v>45433</v>
      </c>
      <c r="H124" s="146"/>
      <c r="I124" s="144" t="s">
        <v>309</v>
      </c>
      <c r="J124" s="144" t="s">
        <v>596</v>
      </c>
      <c r="K124" s="146"/>
      <c r="L124" s="146"/>
      <c r="M124" s="148"/>
    </row>
    <row r="125" customFormat="false" ht="21" hidden="false" customHeight="true" outlineLevel="0" collapsed="false">
      <c r="A125" s="139" t="s">
        <v>909</v>
      </c>
      <c r="B125" s="140" t="s">
        <v>545</v>
      </c>
      <c r="C125" s="141" t="s">
        <v>600</v>
      </c>
      <c r="D125" s="139" t="s">
        <v>546</v>
      </c>
      <c r="E125" s="139" t="s">
        <v>547</v>
      </c>
      <c r="F125" s="139" t="s">
        <v>1681</v>
      </c>
      <c r="G125" s="142" t="n">
        <v>45262</v>
      </c>
      <c r="H125" s="141"/>
      <c r="I125" s="139" t="s">
        <v>309</v>
      </c>
      <c r="J125" s="139" t="s">
        <v>548</v>
      </c>
      <c r="K125" s="141"/>
      <c r="L125" s="141"/>
      <c r="M125" s="143"/>
    </row>
    <row r="126" customFormat="false" ht="21" hidden="false" customHeight="true" outlineLevel="0" collapsed="false">
      <c r="A126" s="144" t="s">
        <v>909</v>
      </c>
      <c r="B126" s="145" t="s">
        <v>550</v>
      </c>
      <c r="C126" s="146" t="s">
        <v>1744</v>
      </c>
      <c r="D126" s="144" t="s">
        <v>551</v>
      </c>
      <c r="E126" s="144" t="s">
        <v>552</v>
      </c>
      <c r="F126" s="144" t="s">
        <v>361</v>
      </c>
      <c r="G126" s="147" t="n">
        <v>45263</v>
      </c>
      <c r="H126" s="146"/>
      <c r="I126" s="144" t="s">
        <v>309</v>
      </c>
      <c r="J126" s="144" t="s">
        <v>1745</v>
      </c>
      <c r="K126" s="146"/>
      <c r="L126" s="146"/>
      <c r="M126" s="148"/>
    </row>
    <row r="127" customFormat="false" ht="21" hidden="false" customHeight="true" outlineLevel="0" collapsed="false">
      <c r="A127" s="139" t="s">
        <v>909</v>
      </c>
      <c r="B127" s="140" t="s">
        <v>555</v>
      </c>
      <c r="C127" s="141" t="s">
        <v>600</v>
      </c>
      <c r="D127" s="139" t="s">
        <v>556</v>
      </c>
      <c r="E127" s="139" t="s">
        <v>557</v>
      </c>
      <c r="F127" s="139" t="s">
        <v>1681</v>
      </c>
      <c r="G127" s="142" t="n">
        <v>45311</v>
      </c>
      <c r="H127" s="141"/>
      <c r="I127" s="139" t="s">
        <v>309</v>
      </c>
      <c r="J127" s="139" t="s">
        <v>559</v>
      </c>
      <c r="K127" s="141"/>
      <c r="L127" s="141"/>
      <c r="M127" s="143"/>
    </row>
    <row r="128" customFormat="false" ht="21" hidden="false" customHeight="true" outlineLevel="0" collapsed="false">
      <c r="A128" s="144" t="s">
        <v>909</v>
      </c>
      <c r="B128" s="145" t="s">
        <v>561</v>
      </c>
      <c r="C128" s="146" t="s">
        <v>506</v>
      </c>
      <c r="D128" s="144" t="s">
        <v>562</v>
      </c>
      <c r="E128" s="144" t="s">
        <v>563</v>
      </c>
      <c r="F128" s="144" t="s">
        <v>162</v>
      </c>
      <c r="G128" s="147" t="n">
        <v>46187</v>
      </c>
      <c r="H128" s="146"/>
      <c r="I128" s="144" t="s">
        <v>309</v>
      </c>
      <c r="J128" s="144" t="s">
        <v>548</v>
      </c>
      <c r="K128" s="146"/>
      <c r="L128" s="146"/>
      <c r="M128" s="148"/>
    </row>
    <row r="129" customFormat="false" ht="21" hidden="false" customHeight="true" outlineLevel="0" collapsed="false">
      <c r="A129" s="139" t="s">
        <v>909</v>
      </c>
      <c r="B129" s="140" t="s">
        <v>565</v>
      </c>
      <c r="C129" s="141" t="s">
        <v>506</v>
      </c>
      <c r="D129" s="139" t="s">
        <v>566</v>
      </c>
      <c r="E129" s="139" t="s">
        <v>567</v>
      </c>
      <c r="F129" s="139" t="s">
        <v>162</v>
      </c>
      <c r="G129" s="142" t="n">
        <v>45550</v>
      </c>
      <c r="H129" s="141"/>
      <c r="I129" s="139" t="s">
        <v>309</v>
      </c>
      <c r="J129" s="139" t="s">
        <v>528</v>
      </c>
      <c r="K129" s="141"/>
      <c r="L129" s="141"/>
      <c r="M129" s="143"/>
    </row>
    <row r="130" customFormat="false" ht="21" hidden="false" customHeight="true" outlineLevel="0" collapsed="false">
      <c r="A130" s="144" t="s">
        <v>909</v>
      </c>
      <c r="B130" s="145" t="s">
        <v>438</v>
      </c>
      <c r="C130" s="146" t="s">
        <v>506</v>
      </c>
      <c r="D130" s="144" t="s">
        <v>439</v>
      </c>
      <c r="E130" s="144" t="s">
        <v>440</v>
      </c>
      <c r="F130" s="144" t="s">
        <v>162</v>
      </c>
      <c r="G130" s="147" t="n">
        <v>45985</v>
      </c>
      <c r="H130" s="146"/>
      <c r="I130" s="144" t="s">
        <v>309</v>
      </c>
      <c r="J130" s="144" t="s">
        <v>310</v>
      </c>
      <c r="K130" s="144" t="s">
        <v>441</v>
      </c>
      <c r="L130" s="146"/>
      <c r="M130" s="148"/>
    </row>
    <row r="131" customFormat="false" ht="21" hidden="false" customHeight="true" outlineLevel="0" collapsed="false">
      <c r="A131" s="139" t="s">
        <v>909</v>
      </c>
      <c r="B131" s="140" t="s">
        <v>570</v>
      </c>
      <c r="C131" s="141" t="s">
        <v>1746</v>
      </c>
      <c r="D131" s="139" t="s">
        <v>571</v>
      </c>
      <c r="E131" s="139" t="s">
        <v>572</v>
      </c>
      <c r="F131" s="139" t="s">
        <v>361</v>
      </c>
      <c r="G131" s="142" t="n">
        <v>45852</v>
      </c>
      <c r="H131" s="141"/>
      <c r="I131" s="139" t="s">
        <v>309</v>
      </c>
      <c r="J131" s="139" t="s">
        <v>1745</v>
      </c>
      <c r="K131" s="141"/>
      <c r="L131" s="141"/>
      <c r="M131" s="143"/>
    </row>
    <row r="132" customFormat="false" ht="21" hidden="false" customHeight="true" outlineLevel="0" collapsed="false">
      <c r="A132" s="144" t="s">
        <v>909</v>
      </c>
      <c r="B132" s="145" t="s">
        <v>443</v>
      </c>
      <c r="C132" s="146" t="s">
        <v>176</v>
      </c>
      <c r="D132" s="144" t="s">
        <v>444</v>
      </c>
      <c r="E132" s="144" t="s">
        <v>445</v>
      </c>
      <c r="F132" s="144" t="s">
        <v>162</v>
      </c>
      <c r="G132" s="147" t="n">
        <v>45885</v>
      </c>
      <c r="H132" s="146"/>
      <c r="I132" s="144" t="s">
        <v>309</v>
      </c>
      <c r="J132" s="144" t="s">
        <v>310</v>
      </c>
      <c r="K132" s="144" t="s">
        <v>446</v>
      </c>
      <c r="L132" s="146"/>
      <c r="M132" s="148"/>
    </row>
    <row r="133" customFormat="false" ht="21" hidden="false" customHeight="true" outlineLevel="0" collapsed="false">
      <c r="A133" s="139" t="s">
        <v>909</v>
      </c>
      <c r="B133" s="140" t="s">
        <v>576</v>
      </c>
      <c r="C133" s="141" t="s">
        <v>506</v>
      </c>
      <c r="D133" s="139" t="s">
        <v>577</v>
      </c>
      <c r="E133" s="139" t="s">
        <v>578</v>
      </c>
      <c r="F133" s="139" t="s">
        <v>162</v>
      </c>
      <c r="G133" s="142" t="n">
        <v>46032</v>
      </c>
      <c r="H133" s="141"/>
      <c r="I133" s="139" t="s">
        <v>309</v>
      </c>
      <c r="J133" s="139" t="s">
        <v>579</v>
      </c>
      <c r="K133" s="141"/>
      <c r="L133" s="141"/>
      <c r="M133" s="143"/>
    </row>
    <row r="134" customFormat="false" ht="21" hidden="false" customHeight="true" outlineLevel="0" collapsed="false">
      <c r="A134" s="144" t="s">
        <v>909</v>
      </c>
      <c r="B134" s="145" t="s">
        <v>448</v>
      </c>
      <c r="C134" s="146" t="s">
        <v>250</v>
      </c>
      <c r="D134" s="144" t="s">
        <v>449</v>
      </c>
      <c r="E134" s="144" t="s">
        <v>450</v>
      </c>
      <c r="F134" s="144" t="s">
        <v>162</v>
      </c>
      <c r="G134" s="147" t="n">
        <v>46282</v>
      </c>
      <c r="H134" s="146"/>
      <c r="I134" s="144" t="s">
        <v>309</v>
      </c>
      <c r="J134" s="144" t="s">
        <v>310</v>
      </c>
      <c r="K134" s="146"/>
      <c r="L134" s="146"/>
      <c r="M134" s="148"/>
    </row>
    <row r="135" customFormat="false" ht="21" hidden="false" customHeight="true" outlineLevel="0" collapsed="false">
      <c r="A135" s="139" t="s">
        <v>909</v>
      </c>
      <c r="B135" s="140" t="s">
        <v>213</v>
      </c>
      <c r="C135" s="141" t="s">
        <v>250</v>
      </c>
      <c r="D135" s="139" t="s">
        <v>214</v>
      </c>
      <c r="E135" s="139" t="s">
        <v>215</v>
      </c>
      <c r="F135" s="139" t="s">
        <v>162</v>
      </c>
      <c r="G135" s="142" t="n">
        <v>45914</v>
      </c>
      <c r="H135" s="141"/>
      <c r="I135" s="141"/>
      <c r="J135" s="139" t="s">
        <v>163</v>
      </c>
      <c r="K135" s="141"/>
      <c r="L135" s="141"/>
      <c r="M135" s="143"/>
    </row>
    <row r="136" customFormat="false" ht="21" hidden="false" customHeight="true" outlineLevel="0" collapsed="false">
      <c r="A136" s="144" t="s">
        <v>909</v>
      </c>
      <c r="B136" s="145" t="s">
        <v>221</v>
      </c>
      <c r="C136" s="146" t="s">
        <v>222</v>
      </c>
      <c r="D136" s="144" t="s">
        <v>223</v>
      </c>
      <c r="E136" s="144" t="s">
        <v>224</v>
      </c>
      <c r="F136" s="144" t="s">
        <v>225</v>
      </c>
      <c r="G136" s="149"/>
      <c r="H136" s="146"/>
      <c r="I136" s="146"/>
      <c r="J136" s="144" t="s">
        <v>226</v>
      </c>
      <c r="K136" s="144" t="s">
        <v>227</v>
      </c>
      <c r="L136" s="146"/>
      <c r="M136" s="148"/>
    </row>
    <row r="137" customFormat="false" ht="21" hidden="false" customHeight="true" outlineLevel="0" collapsed="false">
      <c r="A137" s="139" t="s">
        <v>909</v>
      </c>
      <c r="B137" s="140" t="s">
        <v>645</v>
      </c>
      <c r="C137" s="141" t="s">
        <v>302</v>
      </c>
      <c r="D137" s="139" t="s">
        <v>1695</v>
      </c>
      <c r="E137" s="139" t="s">
        <v>648</v>
      </c>
      <c r="F137" s="139" t="s">
        <v>162</v>
      </c>
      <c r="G137" s="142" t="n">
        <v>46206</v>
      </c>
      <c r="H137" s="141"/>
      <c r="I137" s="141"/>
      <c r="J137" s="139" t="s">
        <v>163</v>
      </c>
      <c r="K137" s="141"/>
      <c r="L137" s="141"/>
      <c r="M137" s="143"/>
    </row>
    <row r="138" customFormat="false" ht="21" hidden="false" customHeight="true" outlineLevel="0" collapsed="false">
      <c r="A138" s="144" t="s">
        <v>909</v>
      </c>
      <c r="B138" s="145" t="s">
        <v>255</v>
      </c>
      <c r="C138" s="146" t="s">
        <v>176</v>
      </c>
      <c r="D138" s="144" t="s">
        <v>256</v>
      </c>
      <c r="E138" s="144" t="s">
        <v>257</v>
      </c>
      <c r="F138" s="144" t="s">
        <v>162</v>
      </c>
      <c r="G138" s="147" t="n">
        <v>46205</v>
      </c>
      <c r="H138" s="146"/>
      <c r="I138" s="146"/>
      <c r="J138" s="144" t="s">
        <v>163</v>
      </c>
      <c r="K138" s="146"/>
      <c r="L138" s="146"/>
      <c r="M138" s="148"/>
    </row>
    <row r="139" customFormat="false" ht="21" hidden="false" customHeight="true" outlineLevel="0" collapsed="false">
      <c r="A139" s="139" t="s">
        <v>909</v>
      </c>
      <c r="B139" s="140" t="s">
        <v>599</v>
      </c>
      <c r="C139" s="141" t="s">
        <v>302</v>
      </c>
      <c r="D139" s="139" t="s">
        <v>1723</v>
      </c>
      <c r="E139" s="139" t="s">
        <v>1724</v>
      </c>
      <c r="F139" s="139" t="s">
        <v>162</v>
      </c>
      <c r="G139" s="142" t="n">
        <v>46123</v>
      </c>
      <c r="H139" s="141"/>
      <c r="I139" s="141"/>
      <c r="J139" s="139" t="s">
        <v>163</v>
      </c>
      <c r="K139" s="141"/>
      <c r="L139" s="141"/>
      <c r="M139" s="143"/>
    </row>
    <row r="140" customFormat="false" ht="21" hidden="false" customHeight="true" outlineLevel="0" collapsed="false">
      <c r="A140" s="146"/>
      <c r="B140" s="165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</row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</sheetData>
  <mergeCells count="2">
    <mergeCell ref="B1:D1"/>
    <mergeCell ref="G1:M1"/>
  </mergeCells>
  <hyperlinks>
    <hyperlink ref="E1" location="'INÍCIO'!A1" display="⌂  Início"/>
    <hyperlink ref="F1" location="'DASHBOARD EXECUTIVO'!A1" display="▦  Dashboar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CBD3"/>
    <pageSetUpPr fitToPage="false"/>
  </sheetPr>
  <dimension ref="A1:M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133" width="23"/>
    <col collapsed="false" customWidth="true" hidden="false" outlineLevel="0" max="3" min="3" style="133" width="10"/>
    <col collapsed="false" customWidth="true" hidden="false" outlineLevel="0" max="4" min="4" style="133" width="17"/>
    <col collapsed="false" customWidth="true" hidden="false" outlineLevel="0" max="5" min="5" style="0" width="70"/>
    <col collapsed="false" customWidth="true" hidden="false" outlineLevel="0" max="6" min="6" style="133" width="16"/>
    <col collapsed="false" customWidth="true" hidden="false" outlineLevel="0" max="7" min="7" style="133" width="14"/>
    <col collapsed="false" customWidth="true" hidden="false" outlineLevel="0" max="8" min="8" style="133" width="10"/>
    <col collapsed="false" customWidth="true" hidden="false" outlineLevel="0" max="9" min="9" style="0" width="12.9"/>
    <col collapsed="false" customWidth="true" hidden="false" outlineLevel="0" max="10" min="10" style="0" width="37"/>
    <col collapsed="false" customWidth="true" hidden="false" outlineLevel="0" max="11" min="11" style="0" width="70"/>
    <col collapsed="false" customWidth="true" hidden="false" outlineLevel="0" max="12" min="12" style="0" width="12.9"/>
    <col collapsed="false" customWidth="true" hidden="false" outlineLevel="0" max="13" min="13" style="0" width="15"/>
  </cols>
  <sheetData>
    <row r="1" customFormat="false" ht="39.75" hidden="false" customHeight="true" outlineLevel="0" collapsed="false">
      <c r="A1" s="196" t="s">
        <v>904</v>
      </c>
      <c r="B1" s="196"/>
      <c r="C1" s="196"/>
      <c r="D1" s="55" t="s">
        <v>64</v>
      </c>
      <c r="E1" s="55" t="s">
        <v>65</v>
      </c>
      <c r="F1" s="197" t="str">
        <f aca="false">"HISTÓRICO — versão anterior, não usada nos KPIs  ·  "&amp;COUNTA($B$3:$B$180)&amp;" registros"</f>
        <v>HISTÓRICO — versão anterior, não usada nos KPIs  ·  168 registros</v>
      </c>
      <c r="G1" s="197"/>
      <c r="H1" s="197"/>
      <c r="I1" s="197"/>
      <c r="J1" s="197"/>
      <c r="K1" s="197"/>
      <c r="L1" s="197"/>
      <c r="M1" s="197"/>
    </row>
    <row r="2" customFormat="false" ht="31.5" hidden="false" customHeight="true" outlineLevel="0" collapsed="false">
      <c r="A2" s="198" t="s">
        <v>946</v>
      </c>
      <c r="B2" s="198" t="s">
        <v>906</v>
      </c>
      <c r="C2" s="198" t="s">
        <v>132</v>
      </c>
      <c r="D2" s="198" t="s">
        <v>140</v>
      </c>
      <c r="E2" s="198" t="s">
        <v>87</v>
      </c>
      <c r="F2" s="198" t="s">
        <v>907</v>
      </c>
      <c r="G2" s="198" t="s">
        <v>134</v>
      </c>
      <c r="H2" s="198" t="s">
        <v>88</v>
      </c>
      <c r="I2" s="198" t="s">
        <v>142</v>
      </c>
      <c r="J2" s="198" t="s">
        <v>947</v>
      </c>
      <c r="K2" s="198" t="s">
        <v>143</v>
      </c>
      <c r="L2" s="198" t="s">
        <v>144</v>
      </c>
      <c r="M2" s="137"/>
    </row>
    <row r="3" customFormat="false" ht="21" hidden="false" customHeight="true" outlineLevel="0" collapsed="false">
      <c r="A3" s="139" t="s">
        <v>909</v>
      </c>
      <c r="B3" s="140" t="s">
        <v>158</v>
      </c>
      <c r="C3" s="141" t="s">
        <v>176</v>
      </c>
      <c r="D3" s="139" t="s">
        <v>160</v>
      </c>
      <c r="E3" s="139" t="s">
        <v>161</v>
      </c>
      <c r="F3" s="139" t="s">
        <v>162</v>
      </c>
      <c r="G3" s="142" t="n">
        <v>45648</v>
      </c>
      <c r="H3" s="141" t="s">
        <v>36</v>
      </c>
      <c r="I3" s="141"/>
      <c r="J3" s="139" t="s">
        <v>163</v>
      </c>
      <c r="K3" s="139" t="s">
        <v>164</v>
      </c>
      <c r="L3" s="141"/>
      <c r="M3" s="143"/>
    </row>
    <row r="4" customFormat="false" ht="21" hidden="false" customHeight="true" outlineLevel="0" collapsed="false">
      <c r="A4" s="144" t="s">
        <v>909</v>
      </c>
      <c r="B4" s="145" t="s">
        <v>166</v>
      </c>
      <c r="C4" s="146" t="s">
        <v>176</v>
      </c>
      <c r="D4" s="144" t="s">
        <v>167</v>
      </c>
      <c r="E4" s="144" t="s">
        <v>168</v>
      </c>
      <c r="F4" s="144" t="s">
        <v>162</v>
      </c>
      <c r="G4" s="147" t="n">
        <v>46088</v>
      </c>
      <c r="H4" s="146" t="s">
        <v>36</v>
      </c>
      <c r="I4" s="146"/>
      <c r="J4" s="144" t="s">
        <v>163</v>
      </c>
      <c r="K4" s="146"/>
      <c r="L4" s="146"/>
      <c r="M4" s="148"/>
    </row>
    <row r="5" customFormat="false" ht="21" hidden="false" customHeight="true" outlineLevel="0" collapsed="false">
      <c r="A5" s="139" t="s">
        <v>909</v>
      </c>
      <c r="B5" s="140" t="s">
        <v>171</v>
      </c>
      <c r="C5" s="141" t="s">
        <v>176</v>
      </c>
      <c r="D5" s="139" t="s">
        <v>172</v>
      </c>
      <c r="E5" s="139" t="s">
        <v>173</v>
      </c>
      <c r="F5" s="139" t="s">
        <v>162</v>
      </c>
      <c r="G5" s="142" t="n">
        <v>45709</v>
      </c>
      <c r="H5" s="141" t="s">
        <v>36</v>
      </c>
      <c r="I5" s="141"/>
      <c r="J5" s="139" t="s">
        <v>163</v>
      </c>
      <c r="K5" s="141"/>
      <c r="L5" s="141"/>
      <c r="M5" s="143"/>
    </row>
    <row r="6" customFormat="false" ht="21" hidden="false" customHeight="true" outlineLevel="0" collapsed="false">
      <c r="A6" s="144" t="s">
        <v>909</v>
      </c>
      <c r="B6" s="145" t="s">
        <v>175</v>
      </c>
      <c r="C6" s="146" t="s">
        <v>250</v>
      </c>
      <c r="D6" s="144" t="s">
        <v>177</v>
      </c>
      <c r="E6" s="144" t="s">
        <v>178</v>
      </c>
      <c r="F6" s="144" t="s">
        <v>162</v>
      </c>
      <c r="G6" s="147" t="n">
        <v>45734</v>
      </c>
      <c r="H6" s="146" t="s">
        <v>36</v>
      </c>
      <c r="I6" s="146"/>
      <c r="J6" s="144" t="s">
        <v>163</v>
      </c>
      <c r="K6" s="144" t="s">
        <v>179</v>
      </c>
      <c r="L6" s="146"/>
      <c r="M6" s="148"/>
    </row>
    <row r="7" customFormat="false" ht="21" hidden="false" customHeight="true" outlineLevel="0" collapsed="false">
      <c r="A7" s="139" t="s">
        <v>909</v>
      </c>
      <c r="B7" s="140" t="s">
        <v>181</v>
      </c>
      <c r="C7" s="141" t="s">
        <v>250</v>
      </c>
      <c r="D7" s="139" t="s">
        <v>182</v>
      </c>
      <c r="E7" s="139" t="s">
        <v>183</v>
      </c>
      <c r="F7" s="139" t="s">
        <v>162</v>
      </c>
      <c r="G7" s="142" t="n">
        <v>45648</v>
      </c>
      <c r="H7" s="141" t="s">
        <v>36</v>
      </c>
      <c r="I7" s="141"/>
      <c r="J7" s="139" t="s">
        <v>163</v>
      </c>
      <c r="K7" s="141"/>
      <c r="L7" s="141"/>
      <c r="M7" s="143"/>
    </row>
    <row r="8" customFormat="false" ht="21" hidden="false" customHeight="true" outlineLevel="0" collapsed="false">
      <c r="A8" s="144" t="s">
        <v>909</v>
      </c>
      <c r="B8" s="145" t="s">
        <v>697</v>
      </c>
      <c r="C8" s="146" t="s">
        <v>250</v>
      </c>
      <c r="D8" s="144" t="s">
        <v>698</v>
      </c>
      <c r="E8" s="144" t="s">
        <v>699</v>
      </c>
      <c r="F8" s="144" t="s">
        <v>162</v>
      </c>
      <c r="G8" s="147" t="n">
        <v>45648</v>
      </c>
      <c r="H8" s="146" t="s">
        <v>36</v>
      </c>
      <c r="I8" s="146"/>
      <c r="J8" s="144" t="s">
        <v>163</v>
      </c>
      <c r="K8" s="146"/>
      <c r="L8" s="146"/>
      <c r="M8" s="148"/>
    </row>
    <row r="9" customFormat="false" ht="21" hidden="false" customHeight="true" outlineLevel="0" collapsed="false">
      <c r="A9" s="139" t="s">
        <v>909</v>
      </c>
      <c r="B9" s="140" t="s">
        <v>185</v>
      </c>
      <c r="C9" s="141" t="s">
        <v>250</v>
      </c>
      <c r="D9" s="139" t="s">
        <v>186</v>
      </c>
      <c r="E9" s="139" t="s">
        <v>187</v>
      </c>
      <c r="F9" s="139" t="s">
        <v>162</v>
      </c>
      <c r="G9" s="142" t="n">
        <v>45648</v>
      </c>
      <c r="H9" s="141" t="s">
        <v>36</v>
      </c>
      <c r="I9" s="141"/>
      <c r="J9" s="139" t="s">
        <v>163</v>
      </c>
      <c r="K9" s="139" t="s">
        <v>188</v>
      </c>
      <c r="L9" s="141"/>
      <c r="M9" s="143"/>
    </row>
    <row r="10" customFormat="false" ht="21" hidden="false" customHeight="true" outlineLevel="0" collapsed="false">
      <c r="A10" s="144" t="s">
        <v>909</v>
      </c>
      <c r="B10" s="145" t="s">
        <v>453</v>
      </c>
      <c r="C10" s="146" t="s">
        <v>250</v>
      </c>
      <c r="D10" s="144" t="s">
        <v>454</v>
      </c>
      <c r="E10" s="144" t="s">
        <v>455</v>
      </c>
      <c r="F10" s="144" t="s">
        <v>162</v>
      </c>
      <c r="G10" s="147" t="n">
        <v>45720</v>
      </c>
      <c r="H10" s="146" t="s">
        <v>36</v>
      </c>
      <c r="I10" s="146"/>
      <c r="J10" s="144" t="s">
        <v>163</v>
      </c>
      <c r="K10" s="146"/>
      <c r="L10" s="146"/>
      <c r="M10" s="148"/>
    </row>
    <row r="11" customFormat="false" ht="21" hidden="false" customHeight="true" outlineLevel="0" collapsed="false">
      <c r="A11" s="139" t="s">
        <v>909</v>
      </c>
      <c r="B11" s="140" t="s">
        <v>190</v>
      </c>
      <c r="C11" s="141" t="s">
        <v>159</v>
      </c>
      <c r="D11" s="139" t="s">
        <v>192</v>
      </c>
      <c r="E11" s="139" t="s">
        <v>193</v>
      </c>
      <c r="F11" s="139" t="s">
        <v>162</v>
      </c>
      <c r="G11" s="142" t="n">
        <v>45703</v>
      </c>
      <c r="H11" s="141" t="s">
        <v>36</v>
      </c>
      <c r="I11" s="141"/>
      <c r="J11" s="139" t="s">
        <v>163</v>
      </c>
      <c r="K11" s="141"/>
      <c r="L11" s="141"/>
      <c r="M11" s="143"/>
    </row>
    <row r="12" customFormat="false" ht="21" hidden="false" customHeight="true" outlineLevel="0" collapsed="false">
      <c r="A12" s="144" t="s">
        <v>909</v>
      </c>
      <c r="B12" s="145" t="s">
        <v>195</v>
      </c>
      <c r="C12" s="146" t="s">
        <v>250</v>
      </c>
      <c r="D12" s="144" t="s">
        <v>196</v>
      </c>
      <c r="E12" s="144" t="s">
        <v>197</v>
      </c>
      <c r="F12" s="144" t="s">
        <v>162</v>
      </c>
      <c r="G12" s="147" t="n">
        <v>45585</v>
      </c>
      <c r="H12" s="146" t="s">
        <v>36</v>
      </c>
      <c r="I12" s="146"/>
      <c r="J12" s="144" t="s">
        <v>163</v>
      </c>
      <c r="K12" s="146"/>
      <c r="L12" s="146"/>
      <c r="M12" s="148"/>
    </row>
    <row r="13" customFormat="false" ht="21" hidden="false" customHeight="true" outlineLevel="0" collapsed="false">
      <c r="A13" s="139" t="s">
        <v>909</v>
      </c>
      <c r="B13" s="140" t="s">
        <v>199</v>
      </c>
      <c r="C13" s="141" t="s">
        <v>250</v>
      </c>
      <c r="D13" s="139" t="s">
        <v>200</v>
      </c>
      <c r="E13" s="139" t="s">
        <v>201</v>
      </c>
      <c r="F13" s="139" t="s">
        <v>162</v>
      </c>
      <c r="G13" s="142" t="n">
        <v>45585</v>
      </c>
      <c r="H13" s="141" t="s">
        <v>36</v>
      </c>
      <c r="I13" s="141"/>
      <c r="J13" s="139" t="s">
        <v>163</v>
      </c>
      <c r="K13" s="141"/>
      <c r="L13" s="141"/>
      <c r="M13" s="143"/>
    </row>
    <row r="14" customFormat="false" ht="21" hidden="false" customHeight="true" outlineLevel="0" collapsed="false">
      <c r="A14" s="144" t="s">
        <v>909</v>
      </c>
      <c r="B14" s="145" t="s">
        <v>203</v>
      </c>
      <c r="C14" s="146" t="s">
        <v>250</v>
      </c>
      <c r="D14" s="144" t="s">
        <v>204</v>
      </c>
      <c r="E14" s="144" t="s">
        <v>205</v>
      </c>
      <c r="F14" s="144" t="s">
        <v>162</v>
      </c>
      <c r="G14" s="147" t="n">
        <v>45709</v>
      </c>
      <c r="H14" s="146" t="s">
        <v>36</v>
      </c>
      <c r="I14" s="146"/>
      <c r="J14" s="144" t="s">
        <v>163</v>
      </c>
      <c r="K14" s="144" t="s">
        <v>206</v>
      </c>
      <c r="L14" s="146"/>
      <c r="M14" s="148"/>
    </row>
    <row r="15" customFormat="false" ht="21" hidden="false" customHeight="true" outlineLevel="0" collapsed="false">
      <c r="A15" s="139" t="s">
        <v>909</v>
      </c>
      <c r="B15" s="140" t="s">
        <v>208</v>
      </c>
      <c r="C15" s="141" t="s">
        <v>250</v>
      </c>
      <c r="D15" s="139" t="s">
        <v>209</v>
      </c>
      <c r="E15" s="139" t="s">
        <v>210</v>
      </c>
      <c r="F15" s="139" t="s">
        <v>162</v>
      </c>
      <c r="G15" s="142" t="n">
        <v>45648</v>
      </c>
      <c r="H15" s="141" t="s">
        <v>36</v>
      </c>
      <c r="I15" s="141"/>
      <c r="J15" s="139" t="s">
        <v>163</v>
      </c>
      <c r="K15" s="139" t="s">
        <v>211</v>
      </c>
      <c r="L15" s="141"/>
      <c r="M15" s="143"/>
    </row>
    <row r="16" customFormat="false" ht="21" hidden="false" customHeight="true" outlineLevel="0" collapsed="false">
      <c r="A16" s="144" t="s">
        <v>909</v>
      </c>
      <c r="B16" s="145" t="s">
        <v>702</v>
      </c>
      <c r="C16" s="146" t="s">
        <v>250</v>
      </c>
      <c r="D16" s="144" t="s">
        <v>703</v>
      </c>
      <c r="E16" s="144" t="s">
        <v>704</v>
      </c>
      <c r="F16" s="144" t="s">
        <v>162</v>
      </c>
      <c r="G16" s="147" t="n">
        <v>46130</v>
      </c>
      <c r="H16" s="146"/>
      <c r="I16" s="146"/>
      <c r="J16" s="144" t="s">
        <v>163</v>
      </c>
      <c r="K16" s="146"/>
      <c r="L16" s="146"/>
      <c r="M16" s="148"/>
    </row>
    <row r="17" customFormat="false" ht="21" hidden="false" customHeight="true" outlineLevel="0" collapsed="false">
      <c r="A17" s="139" t="s">
        <v>909</v>
      </c>
      <c r="B17" s="140" t="s">
        <v>685</v>
      </c>
      <c r="C17" s="141" t="s">
        <v>250</v>
      </c>
      <c r="D17" s="139" t="s">
        <v>686</v>
      </c>
      <c r="E17" s="139" t="s">
        <v>687</v>
      </c>
      <c r="F17" s="139" t="s">
        <v>162</v>
      </c>
      <c r="G17" s="142" t="n">
        <v>45914</v>
      </c>
      <c r="H17" s="141"/>
      <c r="I17" s="141"/>
      <c r="J17" s="139" t="s">
        <v>163</v>
      </c>
      <c r="K17" s="141"/>
      <c r="L17" s="141"/>
      <c r="M17" s="143"/>
    </row>
    <row r="18" customFormat="false" ht="21" hidden="false" customHeight="true" outlineLevel="0" collapsed="false">
      <c r="A18" s="144" t="s">
        <v>909</v>
      </c>
      <c r="B18" s="145" t="s">
        <v>706</v>
      </c>
      <c r="C18" s="146" t="s">
        <v>176</v>
      </c>
      <c r="D18" s="144" t="s">
        <v>707</v>
      </c>
      <c r="E18" s="144" t="s">
        <v>708</v>
      </c>
      <c r="F18" s="144" t="s">
        <v>162</v>
      </c>
      <c r="G18" s="147" t="n">
        <v>45957</v>
      </c>
      <c r="H18" s="146"/>
      <c r="I18" s="146"/>
      <c r="J18" s="144" t="s">
        <v>163</v>
      </c>
      <c r="K18" s="144" t="s">
        <v>709</v>
      </c>
      <c r="L18" s="146"/>
      <c r="M18" s="148"/>
    </row>
    <row r="19" customFormat="false" ht="21" hidden="false" customHeight="true" outlineLevel="0" collapsed="false">
      <c r="A19" s="139" t="s">
        <v>909</v>
      </c>
      <c r="B19" s="140" t="s">
        <v>711</v>
      </c>
      <c r="C19" s="141" t="s">
        <v>250</v>
      </c>
      <c r="D19" s="139" t="s">
        <v>712</v>
      </c>
      <c r="E19" s="139" t="s">
        <v>713</v>
      </c>
      <c r="F19" s="139" t="s">
        <v>162</v>
      </c>
      <c r="G19" s="142" t="n">
        <v>45411</v>
      </c>
      <c r="H19" s="141"/>
      <c r="I19" s="141"/>
      <c r="J19" s="139" t="s">
        <v>163</v>
      </c>
      <c r="K19" s="141"/>
      <c r="L19" s="141"/>
      <c r="M19" s="143"/>
    </row>
    <row r="20" customFormat="false" ht="21" hidden="false" customHeight="true" outlineLevel="0" collapsed="false">
      <c r="A20" s="144" t="s">
        <v>909</v>
      </c>
      <c r="B20" s="145" t="s">
        <v>605</v>
      </c>
      <c r="C20" s="146" t="s">
        <v>506</v>
      </c>
      <c r="D20" s="144" t="s">
        <v>606</v>
      </c>
      <c r="E20" s="144" t="s">
        <v>607</v>
      </c>
      <c r="F20" s="144" t="s">
        <v>162</v>
      </c>
      <c r="G20" s="147" t="n">
        <v>45614</v>
      </c>
      <c r="H20" s="146"/>
      <c r="I20" s="146"/>
      <c r="J20" s="144" t="s">
        <v>163</v>
      </c>
      <c r="K20" s="146"/>
      <c r="L20" s="146"/>
      <c r="M20" s="148"/>
    </row>
    <row r="21" customFormat="false" ht="21" hidden="false" customHeight="true" outlineLevel="0" collapsed="false">
      <c r="A21" s="139" t="s">
        <v>909</v>
      </c>
      <c r="B21" s="140" t="s">
        <v>715</v>
      </c>
      <c r="C21" s="141" t="s">
        <v>176</v>
      </c>
      <c r="D21" s="139" t="s">
        <v>716</v>
      </c>
      <c r="E21" s="139" t="s">
        <v>717</v>
      </c>
      <c r="F21" s="139" t="s">
        <v>162</v>
      </c>
      <c r="G21" s="142" t="n">
        <v>46278</v>
      </c>
      <c r="H21" s="141"/>
      <c r="I21" s="141"/>
      <c r="J21" s="139" t="s">
        <v>163</v>
      </c>
      <c r="K21" s="141"/>
      <c r="L21" s="141"/>
      <c r="M21" s="143"/>
    </row>
    <row r="22" customFormat="false" ht="21" hidden="false" customHeight="true" outlineLevel="0" collapsed="false">
      <c r="A22" s="144" t="s">
        <v>909</v>
      </c>
      <c r="B22" s="145" t="s">
        <v>719</v>
      </c>
      <c r="C22" s="146" t="s">
        <v>235</v>
      </c>
      <c r="D22" s="144" t="s">
        <v>721</v>
      </c>
      <c r="E22" s="144" t="s">
        <v>722</v>
      </c>
      <c r="F22" s="144" t="s">
        <v>162</v>
      </c>
      <c r="G22" s="147" t="n">
        <v>45734</v>
      </c>
      <c r="H22" s="146"/>
      <c r="I22" s="146"/>
      <c r="J22" s="144" t="s">
        <v>163</v>
      </c>
      <c r="K22" s="146"/>
      <c r="L22" s="146"/>
      <c r="M22" s="148"/>
    </row>
    <row r="23" customFormat="false" ht="21" hidden="false" customHeight="true" outlineLevel="0" collapsed="false">
      <c r="A23" s="139" t="s">
        <v>909</v>
      </c>
      <c r="B23" s="140" t="s">
        <v>1672</v>
      </c>
      <c r="C23" s="141" t="s">
        <v>506</v>
      </c>
      <c r="D23" s="139" t="s">
        <v>1673</v>
      </c>
      <c r="E23" s="139" t="s">
        <v>1674</v>
      </c>
      <c r="F23" s="139" t="s">
        <v>162</v>
      </c>
      <c r="G23" s="142" t="n">
        <v>46130</v>
      </c>
      <c r="H23" s="141"/>
      <c r="I23" s="141"/>
      <c r="J23" s="139" t="s">
        <v>163</v>
      </c>
      <c r="K23" s="141"/>
      <c r="L23" s="141"/>
      <c r="M23" s="143"/>
    </row>
    <row r="24" customFormat="false" ht="21" hidden="false" customHeight="true" outlineLevel="0" collapsed="false">
      <c r="A24" s="144" t="s">
        <v>909</v>
      </c>
      <c r="B24" s="145" t="s">
        <v>618</v>
      </c>
      <c r="C24" s="146" t="s">
        <v>506</v>
      </c>
      <c r="D24" s="144" t="s">
        <v>619</v>
      </c>
      <c r="E24" s="144" t="s">
        <v>620</v>
      </c>
      <c r="F24" s="144" t="s">
        <v>162</v>
      </c>
      <c r="G24" s="147" t="n">
        <v>46278</v>
      </c>
      <c r="H24" s="146"/>
      <c r="I24" s="146"/>
      <c r="J24" s="144" t="s">
        <v>163</v>
      </c>
      <c r="K24" s="146"/>
      <c r="L24" s="146"/>
      <c r="M24" s="148"/>
    </row>
    <row r="25" customFormat="false" ht="21" hidden="false" customHeight="true" outlineLevel="0" collapsed="false">
      <c r="A25" s="139" t="s">
        <v>909</v>
      </c>
      <c r="B25" s="140" t="s">
        <v>614</v>
      </c>
      <c r="C25" s="141" t="s">
        <v>506</v>
      </c>
      <c r="D25" s="139" t="s">
        <v>615</v>
      </c>
      <c r="E25" s="139" t="s">
        <v>1675</v>
      </c>
      <c r="F25" s="139" t="s">
        <v>162</v>
      </c>
      <c r="G25" s="142" t="n">
        <v>45648</v>
      </c>
      <c r="H25" s="141"/>
      <c r="I25" s="141"/>
      <c r="J25" s="139" t="s">
        <v>163</v>
      </c>
      <c r="K25" s="141"/>
      <c r="L25" s="141"/>
      <c r="M25" s="143"/>
    </row>
    <row r="26" customFormat="false" ht="21" hidden="false" customHeight="true" outlineLevel="0" collapsed="false">
      <c r="A26" s="144" t="s">
        <v>909</v>
      </c>
      <c r="B26" s="145" t="s">
        <v>659</v>
      </c>
      <c r="C26" s="146" t="s">
        <v>600</v>
      </c>
      <c r="D26" s="144" t="s">
        <v>1676</v>
      </c>
      <c r="E26" s="144" t="s">
        <v>1677</v>
      </c>
      <c r="F26" s="144" t="s">
        <v>162</v>
      </c>
      <c r="G26" s="147" t="n">
        <v>45411</v>
      </c>
      <c r="H26" s="146"/>
      <c r="I26" s="146"/>
      <c r="J26" s="144" t="s">
        <v>163</v>
      </c>
      <c r="K26" s="146"/>
      <c r="L26" s="146"/>
      <c r="M26" s="148"/>
    </row>
    <row r="27" customFormat="false" ht="21" hidden="false" customHeight="true" outlineLevel="0" collapsed="false">
      <c r="A27" s="139" t="s">
        <v>909</v>
      </c>
      <c r="B27" s="140" t="s">
        <v>1678</v>
      </c>
      <c r="C27" s="141" t="s">
        <v>600</v>
      </c>
      <c r="D27" s="139" t="s">
        <v>1679</v>
      </c>
      <c r="E27" s="139" t="s">
        <v>1680</v>
      </c>
      <c r="F27" s="139" t="s">
        <v>162</v>
      </c>
      <c r="G27" s="142" t="n">
        <v>45411</v>
      </c>
      <c r="H27" s="141"/>
      <c r="I27" s="141"/>
      <c r="J27" s="139" t="s">
        <v>163</v>
      </c>
      <c r="K27" s="141"/>
      <c r="L27" s="141"/>
      <c r="M27" s="143"/>
    </row>
    <row r="28" customFormat="false" ht="21" hidden="false" customHeight="true" outlineLevel="0" collapsed="false">
      <c r="A28" s="144" t="s">
        <v>909</v>
      </c>
      <c r="B28" s="145" t="s">
        <v>457</v>
      </c>
      <c r="C28" s="146" t="s">
        <v>506</v>
      </c>
      <c r="D28" s="144" t="s">
        <v>458</v>
      </c>
      <c r="E28" s="144" t="s">
        <v>459</v>
      </c>
      <c r="F28" s="144" t="s">
        <v>162</v>
      </c>
      <c r="G28" s="147" t="n">
        <v>46130</v>
      </c>
      <c r="H28" s="146"/>
      <c r="I28" s="146"/>
      <c r="J28" s="144" t="s">
        <v>163</v>
      </c>
      <c r="K28" s="146"/>
      <c r="L28" s="146"/>
      <c r="M28" s="148"/>
    </row>
    <row r="29" customFormat="false" ht="21" hidden="false" customHeight="true" outlineLevel="0" collapsed="false">
      <c r="A29" s="139" t="s">
        <v>909</v>
      </c>
      <c r="B29" s="140" t="s">
        <v>462</v>
      </c>
      <c r="C29" s="141" t="s">
        <v>506</v>
      </c>
      <c r="D29" s="139" t="s">
        <v>463</v>
      </c>
      <c r="E29" s="139" t="s">
        <v>464</v>
      </c>
      <c r="F29" s="139" t="s">
        <v>162</v>
      </c>
      <c r="G29" s="142" t="n">
        <v>46278</v>
      </c>
      <c r="H29" s="141"/>
      <c r="I29" s="141"/>
      <c r="J29" s="139" t="s">
        <v>163</v>
      </c>
      <c r="K29" s="141"/>
      <c r="L29" s="141"/>
      <c r="M29" s="143"/>
    </row>
    <row r="30" customFormat="false" ht="21" hidden="false" customHeight="true" outlineLevel="0" collapsed="false">
      <c r="A30" s="144" t="s">
        <v>909</v>
      </c>
      <c r="B30" s="145" t="s">
        <v>585</v>
      </c>
      <c r="C30" s="146" t="s">
        <v>506</v>
      </c>
      <c r="D30" s="144" t="s">
        <v>586</v>
      </c>
      <c r="E30" s="144" t="s">
        <v>587</v>
      </c>
      <c r="F30" s="144" t="s">
        <v>1681</v>
      </c>
      <c r="G30" s="147" t="n">
        <v>45325</v>
      </c>
      <c r="H30" s="146"/>
      <c r="I30" s="146"/>
      <c r="J30" s="144" t="s">
        <v>163</v>
      </c>
      <c r="K30" s="146"/>
      <c r="L30" s="146"/>
      <c r="M30" s="148"/>
    </row>
    <row r="31" customFormat="false" ht="21" hidden="false" customHeight="true" outlineLevel="0" collapsed="false">
      <c r="A31" s="139" t="s">
        <v>909</v>
      </c>
      <c r="B31" s="140" t="s">
        <v>213</v>
      </c>
      <c r="C31" s="141" t="s">
        <v>250</v>
      </c>
      <c r="D31" s="139" t="s">
        <v>214</v>
      </c>
      <c r="E31" s="139" t="s">
        <v>215</v>
      </c>
      <c r="F31" s="139" t="s">
        <v>162</v>
      </c>
      <c r="G31" s="142" t="n">
        <v>45914</v>
      </c>
      <c r="H31" s="141"/>
      <c r="I31" s="141"/>
      <c r="J31" s="139" t="s">
        <v>163</v>
      </c>
      <c r="K31" s="141"/>
      <c r="L31" s="141"/>
      <c r="M31" s="143"/>
    </row>
    <row r="32" customFormat="false" ht="21" hidden="false" customHeight="true" outlineLevel="0" collapsed="false">
      <c r="A32" s="144" t="s">
        <v>909</v>
      </c>
      <c r="B32" s="145" t="s">
        <v>740</v>
      </c>
      <c r="C32" s="146" t="s">
        <v>302</v>
      </c>
      <c r="D32" s="144" t="s">
        <v>741</v>
      </c>
      <c r="E32" s="144" t="s">
        <v>742</v>
      </c>
      <c r="F32" s="144" t="s">
        <v>162</v>
      </c>
      <c r="G32" s="147" t="n">
        <v>45775</v>
      </c>
      <c r="H32" s="146"/>
      <c r="I32" s="146"/>
      <c r="J32" s="144" t="s">
        <v>163</v>
      </c>
      <c r="K32" s="146"/>
      <c r="L32" s="146"/>
      <c r="M32" s="148"/>
    </row>
    <row r="33" customFormat="false" ht="21" hidden="false" customHeight="true" outlineLevel="0" collapsed="false">
      <c r="A33" s="139" t="s">
        <v>909</v>
      </c>
      <c r="B33" s="140" t="s">
        <v>1682</v>
      </c>
      <c r="C33" s="141" t="s">
        <v>600</v>
      </c>
      <c r="D33" s="139" t="s">
        <v>1683</v>
      </c>
      <c r="E33" s="139" t="s">
        <v>1684</v>
      </c>
      <c r="F33" s="139" t="s">
        <v>162</v>
      </c>
      <c r="G33" s="142" t="n">
        <v>46042</v>
      </c>
      <c r="H33" s="141"/>
      <c r="I33" s="141"/>
      <c r="J33" s="139" t="s">
        <v>163</v>
      </c>
      <c r="K33" s="141"/>
      <c r="L33" s="141"/>
      <c r="M33" s="143"/>
    </row>
    <row r="34" customFormat="false" ht="21" hidden="false" customHeight="true" outlineLevel="0" collapsed="false">
      <c r="A34" s="144" t="s">
        <v>909</v>
      </c>
      <c r="B34" s="145" t="s">
        <v>689</v>
      </c>
      <c r="C34" s="146" t="s">
        <v>600</v>
      </c>
      <c r="D34" s="144" t="s">
        <v>690</v>
      </c>
      <c r="E34" s="144" t="s">
        <v>1685</v>
      </c>
      <c r="F34" s="144" t="s">
        <v>162</v>
      </c>
      <c r="G34" s="147" t="n">
        <v>45734</v>
      </c>
      <c r="H34" s="146"/>
      <c r="I34" s="146"/>
      <c r="J34" s="144" t="s">
        <v>163</v>
      </c>
      <c r="K34" s="146"/>
      <c r="L34" s="146"/>
      <c r="M34" s="148"/>
    </row>
    <row r="35" customFormat="false" ht="21" hidden="false" customHeight="true" outlineLevel="0" collapsed="false">
      <c r="A35" s="139" t="s">
        <v>909</v>
      </c>
      <c r="B35" s="140" t="s">
        <v>217</v>
      </c>
      <c r="C35" s="141" t="s">
        <v>159</v>
      </c>
      <c r="D35" s="139" t="s">
        <v>218</v>
      </c>
      <c r="E35" s="139" t="s">
        <v>219</v>
      </c>
      <c r="F35" s="139" t="s">
        <v>162</v>
      </c>
      <c r="G35" s="142" t="n">
        <v>45730</v>
      </c>
      <c r="H35" s="141"/>
      <c r="I35" s="141"/>
      <c r="J35" s="139" t="s">
        <v>163</v>
      </c>
      <c r="K35" s="141"/>
      <c r="L35" s="141"/>
      <c r="M35" s="143"/>
    </row>
    <row r="36" customFormat="false" ht="21" hidden="false" customHeight="true" outlineLevel="0" collapsed="false">
      <c r="A36" s="144" t="s">
        <v>909</v>
      </c>
      <c r="B36" s="145" t="s">
        <v>650</v>
      </c>
      <c r="C36" s="146" t="s">
        <v>506</v>
      </c>
      <c r="D36" s="144" t="s">
        <v>1686</v>
      </c>
      <c r="E36" s="144" t="s">
        <v>1687</v>
      </c>
      <c r="F36" s="144" t="s">
        <v>162</v>
      </c>
      <c r="G36" s="147" t="n">
        <v>46130</v>
      </c>
      <c r="H36" s="146"/>
      <c r="I36" s="146"/>
      <c r="J36" s="144" t="s">
        <v>163</v>
      </c>
      <c r="K36" s="146"/>
      <c r="L36" s="146"/>
      <c r="M36" s="148"/>
    </row>
    <row r="37" customFormat="false" ht="21" hidden="false" customHeight="true" outlineLevel="0" collapsed="false">
      <c r="A37" s="139" t="s">
        <v>909</v>
      </c>
      <c r="B37" s="140" t="s">
        <v>724</v>
      </c>
      <c r="C37" s="141" t="s">
        <v>1688</v>
      </c>
      <c r="D37" s="139" t="s">
        <v>725</v>
      </c>
      <c r="E37" s="139" t="s">
        <v>726</v>
      </c>
      <c r="F37" s="139" t="s">
        <v>361</v>
      </c>
      <c r="G37" s="142" t="n">
        <v>45193</v>
      </c>
      <c r="H37" s="141"/>
      <c r="I37" s="141"/>
      <c r="J37" s="139" t="s">
        <v>163</v>
      </c>
      <c r="K37" s="141"/>
      <c r="L37" s="141"/>
      <c r="M37" s="143"/>
    </row>
    <row r="38" customFormat="false" ht="21" hidden="false" customHeight="true" outlineLevel="0" collapsed="false">
      <c r="A38" s="144" t="s">
        <v>909</v>
      </c>
      <c r="B38" s="145" t="s">
        <v>693</v>
      </c>
      <c r="C38" s="146" t="s">
        <v>1688</v>
      </c>
      <c r="D38" s="144" t="s">
        <v>694</v>
      </c>
      <c r="E38" s="144" t="s">
        <v>1689</v>
      </c>
      <c r="F38" s="144" t="s">
        <v>361</v>
      </c>
      <c r="G38" s="147" t="n">
        <v>45191</v>
      </c>
      <c r="H38" s="146"/>
      <c r="I38" s="146"/>
      <c r="J38" s="144" t="s">
        <v>163</v>
      </c>
      <c r="K38" s="146"/>
      <c r="L38" s="146"/>
      <c r="M38" s="148"/>
    </row>
    <row r="39" customFormat="false" ht="21" hidden="false" customHeight="true" outlineLevel="0" collapsed="false">
      <c r="A39" s="139" t="s">
        <v>909</v>
      </c>
      <c r="B39" s="140" t="s">
        <v>672</v>
      </c>
      <c r="C39" s="141" t="s">
        <v>600</v>
      </c>
      <c r="D39" s="139" t="s">
        <v>673</v>
      </c>
      <c r="E39" s="139" t="s">
        <v>1690</v>
      </c>
      <c r="F39" s="139" t="s">
        <v>162</v>
      </c>
      <c r="G39" s="142" t="n">
        <v>46130</v>
      </c>
      <c r="H39" s="141"/>
      <c r="I39" s="141"/>
      <c r="J39" s="139" t="s">
        <v>163</v>
      </c>
      <c r="K39" s="141"/>
      <c r="L39" s="141"/>
      <c r="M39" s="143"/>
    </row>
    <row r="40" customFormat="false" ht="21" hidden="false" customHeight="true" outlineLevel="0" collapsed="false">
      <c r="A40" s="144" t="s">
        <v>909</v>
      </c>
      <c r="B40" s="145" t="s">
        <v>1691</v>
      </c>
      <c r="C40" s="146" t="s">
        <v>1692</v>
      </c>
      <c r="D40" s="144" t="s">
        <v>1693</v>
      </c>
      <c r="E40" s="144" t="s">
        <v>1694</v>
      </c>
      <c r="F40" s="144" t="s">
        <v>361</v>
      </c>
      <c r="G40" s="147" t="n">
        <v>45120</v>
      </c>
      <c r="H40" s="146"/>
      <c r="I40" s="146"/>
      <c r="J40" s="144" t="s">
        <v>163</v>
      </c>
      <c r="K40" s="146"/>
      <c r="L40" s="146"/>
      <c r="M40" s="148"/>
    </row>
    <row r="41" customFormat="false" ht="21" hidden="false" customHeight="true" outlineLevel="0" collapsed="false">
      <c r="A41" s="139" t="s">
        <v>909</v>
      </c>
      <c r="B41" s="140" t="s">
        <v>221</v>
      </c>
      <c r="C41" s="141" t="s">
        <v>222</v>
      </c>
      <c r="D41" s="139" t="s">
        <v>223</v>
      </c>
      <c r="E41" s="139" t="s">
        <v>224</v>
      </c>
      <c r="F41" s="139" t="s">
        <v>225</v>
      </c>
      <c r="G41" s="151"/>
      <c r="H41" s="141"/>
      <c r="I41" s="141"/>
      <c r="J41" s="139" t="s">
        <v>226</v>
      </c>
      <c r="K41" s="139" t="s">
        <v>227</v>
      </c>
      <c r="L41" s="141"/>
      <c r="M41" s="143"/>
    </row>
    <row r="42" customFormat="false" ht="21" hidden="false" customHeight="true" outlineLevel="0" collapsed="false">
      <c r="A42" s="144" t="s">
        <v>909</v>
      </c>
      <c r="B42" s="145" t="s">
        <v>728</v>
      </c>
      <c r="C42" s="146" t="s">
        <v>302</v>
      </c>
      <c r="D42" s="144" t="s">
        <v>729</v>
      </c>
      <c r="E42" s="144" t="s">
        <v>730</v>
      </c>
      <c r="F42" s="144" t="s">
        <v>162</v>
      </c>
      <c r="G42" s="147" t="n">
        <v>46205</v>
      </c>
      <c r="H42" s="146"/>
      <c r="I42" s="146"/>
      <c r="J42" s="144" t="s">
        <v>163</v>
      </c>
      <c r="K42" s="146"/>
      <c r="L42" s="146"/>
      <c r="M42" s="148"/>
    </row>
    <row r="43" customFormat="false" ht="21" hidden="false" customHeight="true" outlineLevel="0" collapsed="false">
      <c r="A43" s="139" t="s">
        <v>909</v>
      </c>
      <c r="B43" s="140" t="s">
        <v>645</v>
      </c>
      <c r="C43" s="141" t="s">
        <v>302</v>
      </c>
      <c r="D43" s="139" t="s">
        <v>1695</v>
      </c>
      <c r="E43" s="139" t="s">
        <v>648</v>
      </c>
      <c r="F43" s="139" t="s">
        <v>162</v>
      </c>
      <c r="G43" s="142" t="n">
        <v>46206</v>
      </c>
      <c r="H43" s="141"/>
      <c r="I43" s="141"/>
      <c r="J43" s="139" t="s">
        <v>163</v>
      </c>
      <c r="K43" s="141"/>
      <c r="L43" s="141"/>
      <c r="M43" s="143"/>
    </row>
    <row r="44" customFormat="false" ht="21" hidden="false" customHeight="true" outlineLevel="0" collapsed="false">
      <c r="A44" s="144" t="s">
        <v>909</v>
      </c>
      <c r="B44" s="145" t="s">
        <v>732</v>
      </c>
      <c r="C44" s="146" t="s">
        <v>250</v>
      </c>
      <c r="D44" s="144" t="s">
        <v>733</v>
      </c>
      <c r="E44" s="144" t="s">
        <v>734</v>
      </c>
      <c r="F44" s="144" t="s">
        <v>162</v>
      </c>
      <c r="G44" s="147" t="n">
        <v>46088</v>
      </c>
      <c r="H44" s="146"/>
      <c r="I44" s="146"/>
      <c r="J44" s="144" t="s">
        <v>163</v>
      </c>
      <c r="K44" s="146"/>
      <c r="L44" s="146"/>
      <c r="M44" s="148"/>
    </row>
    <row r="45" customFormat="false" ht="21" hidden="false" customHeight="true" outlineLevel="0" collapsed="false">
      <c r="A45" s="139" t="s">
        <v>909</v>
      </c>
      <c r="B45" s="140" t="s">
        <v>736</v>
      </c>
      <c r="C45" s="141" t="s">
        <v>250</v>
      </c>
      <c r="D45" s="139" t="s">
        <v>737</v>
      </c>
      <c r="E45" s="139" t="s">
        <v>738</v>
      </c>
      <c r="F45" s="139" t="s">
        <v>162</v>
      </c>
      <c r="G45" s="142" t="n">
        <v>45731</v>
      </c>
      <c r="H45" s="141"/>
      <c r="I45" s="141"/>
      <c r="J45" s="139" t="s">
        <v>163</v>
      </c>
      <c r="K45" s="141"/>
      <c r="L45" s="141"/>
      <c r="M45" s="143"/>
    </row>
    <row r="46" customFormat="false" ht="21" hidden="false" customHeight="true" outlineLevel="0" collapsed="false">
      <c r="A46" s="144" t="s">
        <v>909</v>
      </c>
      <c r="B46" s="145" t="s">
        <v>466</v>
      </c>
      <c r="C46" s="146" t="s">
        <v>250</v>
      </c>
      <c r="D46" s="144" t="s">
        <v>467</v>
      </c>
      <c r="E46" s="144" t="s">
        <v>468</v>
      </c>
      <c r="F46" s="144" t="s">
        <v>162</v>
      </c>
      <c r="G46" s="147" t="n">
        <v>45731</v>
      </c>
      <c r="H46" s="146"/>
      <c r="I46" s="146"/>
      <c r="J46" s="144" t="s">
        <v>163</v>
      </c>
      <c r="K46" s="144" t="s">
        <v>469</v>
      </c>
      <c r="L46" s="146"/>
      <c r="M46" s="148"/>
    </row>
    <row r="47" customFormat="false" ht="21" hidden="false" customHeight="true" outlineLevel="0" collapsed="false">
      <c r="A47" s="139" t="s">
        <v>909</v>
      </c>
      <c r="B47" s="140" t="s">
        <v>471</v>
      </c>
      <c r="C47" s="141" t="s">
        <v>250</v>
      </c>
      <c r="D47" s="139" t="s">
        <v>472</v>
      </c>
      <c r="E47" s="139" t="s">
        <v>473</v>
      </c>
      <c r="F47" s="139" t="s">
        <v>162</v>
      </c>
      <c r="G47" s="142" t="n">
        <v>45731</v>
      </c>
      <c r="H47" s="141"/>
      <c r="I47" s="141"/>
      <c r="J47" s="139" t="s">
        <v>163</v>
      </c>
      <c r="K47" s="139" t="s">
        <v>474</v>
      </c>
      <c r="L47" s="141"/>
      <c r="M47" s="143"/>
    </row>
    <row r="48" customFormat="false" ht="21" hidden="false" customHeight="true" outlineLevel="0" collapsed="false">
      <c r="A48" s="144" t="s">
        <v>909</v>
      </c>
      <c r="B48" s="145" t="s">
        <v>476</v>
      </c>
      <c r="C48" s="146" t="s">
        <v>250</v>
      </c>
      <c r="D48" s="144" t="s">
        <v>477</v>
      </c>
      <c r="E48" s="144" t="s">
        <v>478</v>
      </c>
      <c r="F48" s="144" t="s">
        <v>162</v>
      </c>
      <c r="G48" s="147" t="n">
        <v>45706</v>
      </c>
      <c r="H48" s="146"/>
      <c r="I48" s="146"/>
      <c r="J48" s="144" t="s">
        <v>163</v>
      </c>
      <c r="K48" s="146"/>
      <c r="L48" s="146"/>
      <c r="M48" s="148"/>
    </row>
    <row r="49" customFormat="false" ht="21" hidden="false" customHeight="true" outlineLevel="0" collapsed="false">
      <c r="A49" s="139" t="s">
        <v>909</v>
      </c>
      <c r="B49" s="140" t="s">
        <v>480</v>
      </c>
      <c r="C49" s="141" t="s">
        <v>176</v>
      </c>
      <c r="D49" s="139" t="s">
        <v>481</v>
      </c>
      <c r="E49" s="139" t="s">
        <v>482</v>
      </c>
      <c r="F49" s="139" t="s">
        <v>162</v>
      </c>
      <c r="G49" s="142" t="n">
        <v>45731</v>
      </c>
      <c r="H49" s="141"/>
      <c r="I49" s="141"/>
      <c r="J49" s="139" t="s">
        <v>163</v>
      </c>
      <c r="K49" s="141"/>
      <c r="L49" s="141"/>
      <c r="M49" s="143"/>
    </row>
    <row r="50" customFormat="false" ht="21" hidden="false" customHeight="true" outlineLevel="0" collapsed="false">
      <c r="A50" s="144" t="s">
        <v>909</v>
      </c>
      <c r="B50" s="145" t="s">
        <v>484</v>
      </c>
      <c r="C50" s="146" t="s">
        <v>250</v>
      </c>
      <c r="D50" s="144" t="s">
        <v>485</v>
      </c>
      <c r="E50" s="144" t="s">
        <v>486</v>
      </c>
      <c r="F50" s="144" t="s">
        <v>162</v>
      </c>
      <c r="G50" s="147" t="n">
        <v>45720</v>
      </c>
      <c r="H50" s="146"/>
      <c r="I50" s="146"/>
      <c r="J50" s="144" t="s">
        <v>163</v>
      </c>
      <c r="K50" s="146"/>
      <c r="L50" s="146"/>
      <c r="M50" s="148"/>
    </row>
    <row r="51" customFormat="false" ht="21" hidden="false" customHeight="true" outlineLevel="0" collapsed="false">
      <c r="A51" s="139" t="s">
        <v>909</v>
      </c>
      <c r="B51" s="140" t="s">
        <v>488</v>
      </c>
      <c r="C51" s="141" t="s">
        <v>250</v>
      </c>
      <c r="D51" s="139" t="s">
        <v>489</v>
      </c>
      <c r="E51" s="139" t="s">
        <v>490</v>
      </c>
      <c r="F51" s="139" t="s">
        <v>162</v>
      </c>
      <c r="G51" s="142" t="n">
        <v>45780</v>
      </c>
      <c r="H51" s="141"/>
      <c r="I51" s="141"/>
      <c r="J51" s="139" t="s">
        <v>163</v>
      </c>
      <c r="K51" s="139" t="s">
        <v>491</v>
      </c>
      <c r="L51" s="141"/>
      <c r="M51" s="143"/>
    </row>
    <row r="52" customFormat="false" ht="21" hidden="false" customHeight="true" outlineLevel="0" collapsed="false">
      <c r="A52" s="144" t="s">
        <v>909</v>
      </c>
      <c r="B52" s="145" t="s">
        <v>493</v>
      </c>
      <c r="C52" s="146" t="s">
        <v>159</v>
      </c>
      <c r="D52" s="144" t="s">
        <v>494</v>
      </c>
      <c r="E52" s="144" t="s">
        <v>495</v>
      </c>
      <c r="F52" s="144" t="s">
        <v>162</v>
      </c>
      <c r="G52" s="147" t="n">
        <v>45914</v>
      </c>
      <c r="H52" s="146"/>
      <c r="I52" s="146"/>
      <c r="J52" s="144" t="s">
        <v>163</v>
      </c>
      <c r="K52" s="146"/>
      <c r="L52" s="146"/>
      <c r="M52" s="148"/>
    </row>
    <row r="53" customFormat="false" ht="21" hidden="false" customHeight="true" outlineLevel="0" collapsed="false">
      <c r="A53" s="139" t="s">
        <v>909</v>
      </c>
      <c r="B53" s="140" t="s">
        <v>497</v>
      </c>
      <c r="C53" s="141" t="s">
        <v>250</v>
      </c>
      <c r="D53" s="139" t="s">
        <v>498</v>
      </c>
      <c r="E53" s="139" t="s">
        <v>499</v>
      </c>
      <c r="F53" s="139" t="s">
        <v>162</v>
      </c>
      <c r="G53" s="142" t="n">
        <v>45709</v>
      </c>
      <c r="H53" s="141"/>
      <c r="I53" s="141"/>
      <c r="J53" s="139" t="s">
        <v>163</v>
      </c>
      <c r="K53" s="141"/>
      <c r="L53" s="141"/>
      <c r="M53" s="143"/>
    </row>
    <row r="54" customFormat="false" ht="21" hidden="false" customHeight="true" outlineLevel="0" collapsed="false">
      <c r="A54" s="144" t="s">
        <v>909</v>
      </c>
      <c r="B54" s="145" t="s">
        <v>1696</v>
      </c>
      <c r="C54" s="146" t="s">
        <v>250</v>
      </c>
      <c r="D54" s="144" t="s">
        <v>1697</v>
      </c>
      <c r="E54" s="144" t="s">
        <v>1698</v>
      </c>
      <c r="F54" s="144" t="s">
        <v>162</v>
      </c>
      <c r="G54" s="147" t="n">
        <v>46130</v>
      </c>
      <c r="H54" s="146"/>
      <c r="I54" s="146"/>
      <c r="J54" s="144" t="s">
        <v>163</v>
      </c>
      <c r="K54" s="146"/>
      <c r="L54" s="146"/>
      <c r="M54" s="148"/>
    </row>
    <row r="55" customFormat="false" ht="21" hidden="false" customHeight="true" outlineLevel="0" collapsed="false">
      <c r="A55" s="139" t="s">
        <v>909</v>
      </c>
      <c r="B55" s="140" t="s">
        <v>501</v>
      </c>
      <c r="C55" s="141" t="s">
        <v>176</v>
      </c>
      <c r="D55" s="139" t="s">
        <v>502</v>
      </c>
      <c r="E55" s="139" t="s">
        <v>503</v>
      </c>
      <c r="F55" s="139" t="s">
        <v>162</v>
      </c>
      <c r="G55" s="142" t="n">
        <v>45706</v>
      </c>
      <c r="H55" s="141"/>
      <c r="I55" s="141"/>
      <c r="J55" s="139" t="s">
        <v>163</v>
      </c>
      <c r="K55" s="141"/>
      <c r="L55" s="141"/>
      <c r="M55" s="143"/>
    </row>
    <row r="56" customFormat="false" ht="21" hidden="false" customHeight="true" outlineLevel="0" collapsed="false">
      <c r="A56" s="144" t="s">
        <v>909</v>
      </c>
      <c r="B56" s="145" t="s">
        <v>1699</v>
      </c>
      <c r="C56" s="146" t="s">
        <v>176</v>
      </c>
      <c r="D56" s="144" t="s">
        <v>1700</v>
      </c>
      <c r="E56" s="144" t="s">
        <v>1701</v>
      </c>
      <c r="F56" s="144" t="s">
        <v>162</v>
      </c>
      <c r="G56" s="147" t="n">
        <v>46278</v>
      </c>
      <c r="H56" s="146"/>
      <c r="I56" s="146"/>
      <c r="J56" s="144" t="s">
        <v>163</v>
      </c>
      <c r="K56" s="146"/>
      <c r="L56" s="146"/>
      <c r="M56" s="148"/>
    </row>
    <row r="57" customFormat="false" ht="21" hidden="false" customHeight="true" outlineLevel="0" collapsed="false">
      <c r="A57" s="139" t="s">
        <v>909</v>
      </c>
      <c r="B57" s="140" t="s">
        <v>229</v>
      </c>
      <c r="C57" s="141" t="s">
        <v>250</v>
      </c>
      <c r="D57" s="139" t="s">
        <v>230</v>
      </c>
      <c r="E57" s="139" t="s">
        <v>231</v>
      </c>
      <c r="F57" s="139" t="s">
        <v>162</v>
      </c>
      <c r="G57" s="142" t="n">
        <v>45648</v>
      </c>
      <c r="H57" s="141"/>
      <c r="I57" s="141"/>
      <c r="J57" s="139" t="s">
        <v>163</v>
      </c>
      <c r="K57" s="139" t="s">
        <v>232</v>
      </c>
      <c r="L57" s="141"/>
      <c r="M57" s="143"/>
    </row>
    <row r="58" customFormat="false" ht="21" hidden="false" customHeight="true" outlineLevel="0" collapsed="false">
      <c r="A58" s="144" t="s">
        <v>909</v>
      </c>
      <c r="B58" s="145" t="s">
        <v>1702</v>
      </c>
      <c r="C58" s="146" t="s">
        <v>250</v>
      </c>
      <c r="D58" s="144" t="s">
        <v>1703</v>
      </c>
      <c r="E58" s="144" t="s">
        <v>1704</v>
      </c>
      <c r="F58" s="144" t="s">
        <v>162</v>
      </c>
      <c r="G58" s="147" t="n">
        <v>46132</v>
      </c>
      <c r="H58" s="146"/>
      <c r="I58" s="146"/>
      <c r="J58" s="144" t="s">
        <v>163</v>
      </c>
      <c r="K58" s="146"/>
      <c r="L58" s="146"/>
      <c r="M58" s="148"/>
    </row>
    <row r="59" customFormat="false" ht="21" hidden="false" customHeight="true" outlineLevel="0" collapsed="false">
      <c r="A59" s="139" t="s">
        <v>909</v>
      </c>
      <c r="B59" s="140" t="s">
        <v>234</v>
      </c>
      <c r="C59" s="141" t="s">
        <v>176</v>
      </c>
      <c r="D59" s="139" t="s">
        <v>236</v>
      </c>
      <c r="E59" s="139" t="s">
        <v>237</v>
      </c>
      <c r="F59" s="139" t="s">
        <v>162</v>
      </c>
      <c r="G59" s="142" t="n">
        <v>45704</v>
      </c>
      <c r="H59" s="141"/>
      <c r="I59" s="141"/>
      <c r="J59" s="139" t="s">
        <v>163</v>
      </c>
      <c r="K59" s="139" t="s">
        <v>238</v>
      </c>
      <c r="L59" s="141"/>
      <c r="M59" s="143"/>
    </row>
    <row r="60" customFormat="false" ht="21" hidden="false" customHeight="true" outlineLevel="0" collapsed="false">
      <c r="A60" s="144" t="s">
        <v>909</v>
      </c>
      <c r="B60" s="145" t="s">
        <v>626</v>
      </c>
      <c r="C60" s="146" t="s">
        <v>250</v>
      </c>
      <c r="D60" s="144" t="s">
        <v>1705</v>
      </c>
      <c r="E60" s="144" t="s">
        <v>1706</v>
      </c>
      <c r="F60" s="144" t="s">
        <v>162</v>
      </c>
      <c r="G60" s="147" t="n">
        <v>46221</v>
      </c>
      <c r="H60" s="146"/>
      <c r="I60" s="146"/>
      <c r="J60" s="144" t="s">
        <v>163</v>
      </c>
      <c r="K60" s="146"/>
      <c r="L60" s="146"/>
      <c r="M60" s="148"/>
    </row>
    <row r="61" customFormat="false" ht="21" hidden="false" customHeight="true" outlineLevel="0" collapsed="false">
      <c r="A61" s="139" t="s">
        <v>909</v>
      </c>
      <c r="B61" s="140" t="s">
        <v>240</v>
      </c>
      <c r="C61" s="141" t="s">
        <v>250</v>
      </c>
      <c r="D61" s="139" t="s">
        <v>241</v>
      </c>
      <c r="E61" s="139" t="s">
        <v>242</v>
      </c>
      <c r="F61" s="139" t="s">
        <v>162</v>
      </c>
      <c r="G61" s="142" t="n">
        <v>45648</v>
      </c>
      <c r="H61" s="141"/>
      <c r="I61" s="141"/>
      <c r="J61" s="139" t="s">
        <v>163</v>
      </c>
      <c r="K61" s="141"/>
      <c r="L61" s="141"/>
      <c r="M61" s="143"/>
    </row>
    <row r="62" customFormat="false" ht="21" hidden="false" customHeight="true" outlineLevel="0" collapsed="false">
      <c r="A62" s="144" t="s">
        <v>909</v>
      </c>
      <c r="B62" s="145" t="s">
        <v>1707</v>
      </c>
      <c r="C62" s="146" t="s">
        <v>176</v>
      </c>
      <c r="D62" s="144" t="s">
        <v>1708</v>
      </c>
      <c r="E62" s="144" t="s">
        <v>1709</v>
      </c>
      <c r="F62" s="144" t="s">
        <v>162</v>
      </c>
      <c r="G62" s="147" t="n">
        <v>46130</v>
      </c>
      <c r="H62" s="146"/>
      <c r="I62" s="146"/>
      <c r="J62" s="144" t="s">
        <v>163</v>
      </c>
      <c r="K62" s="146"/>
      <c r="L62" s="146"/>
      <c r="M62" s="148"/>
    </row>
    <row r="63" customFormat="false" ht="21" hidden="false" customHeight="true" outlineLevel="0" collapsed="false">
      <c r="A63" s="139" t="s">
        <v>909</v>
      </c>
      <c r="B63" s="140" t="s">
        <v>244</v>
      </c>
      <c r="C63" s="141" t="s">
        <v>250</v>
      </c>
      <c r="D63" s="139" t="s">
        <v>245</v>
      </c>
      <c r="E63" s="139" t="s">
        <v>246</v>
      </c>
      <c r="F63" s="139" t="s">
        <v>162</v>
      </c>
      <c r="G63" s="142" t="n">
        <v>46130</v>
      </c>
      <c r="H63" s="141"/>
      <c r="I63" s="141"/>
      <c r="J63" s="139" t="s">
        <v>163</v>
      </c>
      <c r="K63" s="139" t="s">
        <v>247</v>
      </c>
      <c r="L63" s="141"/>
      <c r="M63" s="143"/>
    </row>
    <row r="64" customFormat="false" ht="21" hidden="false" customHeight="true" outlineLevel="0" collapsed="false">
      <c r="A64" s="144" t="s">
        <v>909</v>
      </c>
      <c r="B64" s="145" t="s">
        <v>1710</v>
      </c>
      <c r="C64" s="146" t="s">
        <v>176</v>
      </c>
      <c r="D64" s="144" t="s">
        <v>1711</v>
      </c>
      <c r="E64" s="144" t="s">
        <v>1712</v>
      </c>
      <c r="F64" s="144" t="s">
        <v>162</v>
      </c>
      <c r="G64" s="147" t="n">
        <v>46221</v>
      </c>
      <c r="H64" s="146"/>
      <c r="I64" s="146"/>
      <c r="J64" s="144" t="s">
        <v>163</v>
      </c>
      <c r="K64" s="146"/>
      <c r="L64" s="146"/>
      <c r="M64" s="148"/>
    </row>
    <row r="65" customFormat="false" ht="21" hidden="false" customHeight="true" outlineLevel="0" collapsed="false">
      <c r="A65" s="139" t="s">
        <v>909</v>
      </c>
      <c r="B65" s="140" t="s">
        <v>249</v>
      </c>
      <c r="C65" s="141" t="s">
        <v>250</v>
      </c>
      <c r="D65" s="139" t="s">
        <v>251</v>
      </c>
      <c r="E65" s="139" t="s">
        <v>252</v>
      </c>
      <c r="F65" s="139" t="s">
        <v>162</v>
      </c>
      <c r="G65" s="142" t="n">
        <v>45706</v>
      </c>
      <c r="H65" s="141"/>
      <c r="I65" s="141"/>
      <c r="J65" s="139" t="s">
        <v>163</v>
      </c>
      <c r="K65" s="141"/>
      <c r="L65" s="141"/>
      <c r="M65" s="143"/>
    </row>
    <row r="66" customFormat="false" ht="21" hidden="false" customHeight="true" outlineLevel="0" collapsed="false">
      <c r="A66" s="144" t="s">
        <v>909</v>
      </c>
      <c r="B66" s="145" t="s">
        <v>609</v>
      </c>
      <c r="C66" s="146" t="s">
        <v>176</v>
      </c>
      <c r="D66" s="144" t="s">
        <v>610</v>
      </c>
      <c r="E66" s="144" t="s">
        <v>1713</v>
      </c>
      <c r="F66" s="144" t="s">
        <v>162</v>
      </c>
      <c r="G66" s="147" t="n">
        <v>46123</v>
      </c>
      <c r="H66" s="146"/>
      <c r="I66" s="146"/>
      <c r="J66" s="144" t="s">
        <v>163</v>
      </c>
      <c r="K66" s="146"/>
      <c r="L66" s="146"/>
      <c r="M66" s="148"/>
    </row>
    <row r="67" customFormat="false" ht="21" hidden="false" customHeight="true" outlineLevel="0" collapsed="false">
      <c r="A67" s="139" t="s">
        <v>909</v>
      </c>
      <c r="B67" s="140" t="s">
        <v>255</v>
      </c>
      <c r="C67" s="141" t="s">
        <v>176</v>
      </c>
      <c r="D67" s="139" t="s">
        <v>256</v>
      </c>
      <c r="E67" s="139" t="s">
        <v>257</v>
      </c>
      <c r="F67" s="139" t="s">
        <v>162</v>
      </c>
      <c r="G67" s="142" t="n">
        <v>46205</v>
      </c>
      <c r="H67" s="141"/>
      <c r="I67" s="141"/>
      <c r="J67" s="139" t="s">
        <v>163</v>
      </c>
      <c r="K67" s="141"/>
      <c r="L67" s="141"/>
      <c r="M67" s="143"/>
    </row>
    <row r="68" customFormat="false" ht="21" hidden="false" customHeight="true" outlineLevel="0" collapsed="false">
      <c r="A68" s="144" t="s">
        <v>909</v>
      </c>
      <c r="B68" s="145" t="s">
        <v>637</v>
      </c>
      <c r="C68" s="146" t="s">
        <v>176</v>
      </c>
      <c r="D68" s="144" t="s">
        <v>1714</v>
      </c>
      <c r="E68" s="144" t="s">
        <v>1715</v>
      </c>
      <c r="F68" s="144" t="s">
        <v>162</v>
      </c>
      <c r="G68" s="147" t="n">
        <v>46196</v>
      </c>
      <c r="H68" s="146"/>
      <c r="I68" s="146"/>
      <c r="J68" s="144" t="s">
        <v>163</v>
      </c>
      <c r="K68" s="146"/>
      <c r="L68" s="146"/>
      <c r="M68" s="148"/>
    </row>
    <row r="69" customFormat="false" ht="21" hidden="false" customHeight="true" outlineLevel="0" collapsed="false">
      <c r="A69" s="139" t="s">
        <v>909</v>
      </c>
      <c r="B69" s="140" t="s">
        <v>260</v>
      </c>
      <c r="C69" s="141" t="s">
        <v>250</v>
      </c>
      <c r="D69" s="139" t="s">
        <v>261</v>
      </c>
      <c r="E69" s="139" t="s">
        <v>262</v>
      </c>
      <c r="F69" s="139" t="s">
        <v>162</v>
      </c>
      <c r="G69" s="142" t="n">
        <v>45585</v>
      </c>
      <c r="H69" s="141"/>
      <c r="I69" s="141"/>
      <c r="J69" s="139" t="s">
        <v>163</v>
      </c>
      <c r="K69" s="141"/>
      <c r="L69" s="141"/>
      <c r="M69" s="143"/>
    </row>
    <row r="70" customFormat="false" ht="21" hidden="false" customHeight="true" outlineLevel="0" collapsed="false">
      <c r="A70" s="144" t="s">
        <v>909</v>
      </c>
      <c r="B70" s="145" t="s">
        <v>630</v>
      </c>
      <c r="C70" s="146" t="s">
        <v>176</v>
      </c>
      <c r="D70" s="144" t="s">
        <v>1716</v>
      </c>
      <c r="E70" s="144" t="s">
        <v>1717</v>
      </c>
      <c r="F70" s="144" t="s">
        <v>162</v>
      </c>
      <c r="G70" s="147" t="n">
        <v>46130</v>
      </c>
      <c r="H70" s="146"/>
      <c r="I70" s="146"/>
      <c r="J70" s="144" t="s">
        <v>163</v>
      </c>
      <c r="K70" s="146"/>
      <c r="L70" s="146"/>
      <c r="M70" s="148"/>
    </row>
    <row r="71" customFormat="false" ht="21" hidden="false" customHeight="true" outlineLevel="0" collapsed="false">
      <c r="A71" s="139" t="s">
        <v>909</v>
      </c>
      <c r="B71" s="140" t="s">
        <v>264</v>
      </c>
      <c r="C71" s="141" t="s">
        <v>176</v>
      </c>
      <c r="D71" s="139" t="s">
        <v>265</v>
      </c>
      <c r="E71" s="139" t="s">
        <v>266</v>
      </c>
      <c r="F71" s="139" t="s">
        <v>162</v>
      </c>
      <c r="G71" s="142" t="n">
        <v>45731</v>
      </c>
      <c r="H71" s="141"/>
      <c r="I71" s="141"/>
      <c r="J71" s="139" t="s">
        <v>163</v>
      </c>
      <c r="K71" s="141"/>
      <c r="L71" s="141"/>
      <c r="M71" s="143"/>
    </row>
    <row r="72" customFormat="false" ht="21" hidden="false" customHeight="true" outlineLevel="0" collapsed="false">
      <c r="A72" s="144" t="s">
        <v>909</v>
      </c>
      <c r="B72" s="145" t="s">
        <v>1718</v>
      </c>
      <c r="C72" s="146" t="s">
        <v>250</v>
      </c>
      <c r="D72" s="144" t="s">
        <v>1719</v>
      </c>
      <c r="E72" s="144" t="s">
        <v>1720</v>
      </c>
      <c r="F72" s="144" t="s">
        <v>162</v>
      </c>
      <c r="G72" s="147" t="n">
        <v>46205</v>
      </c>
      <c r="H72" s="146"/>
      <c r="I72" s="146"/>
      <c r="J72" s="144" t="s">
        <v>163</v>
      </c>
      <c r="K72" s="146"/>
      <c r="L72" s="146"/>
      <c r="M72" s="148"/>
    </row>
    <row r="73" customFormat="false" ht="21" hidden="false" customHeight="true" outlineLevel="0" collapsed="false">
      <c r="A73" s="139" t="s">
        <v>909</v>
      </c>
      <c r="B73" s="140" t="s">
        <v>268</v>
      </c>
      <c r="C73" s="141" t="s">
        <v>250</v>
      </c>
      <c r="D73" s="139" t="s">
        <v>269</v>
      </c>
      <c r="E73" s="139" t="s">
        <v>270</v>
      </c>
      <c r="F73" s="139" t="s">
        <v>162</v>
      </c>
      <c r="G73" s="142" t="n">
        <v>45585</v>
      </c>
      <c r="H73" s="141"/>
      <c r="I73" s="141"/>
      <c r="J73" s="139" t="s">
        <v>163</v>
      </c>
      <c r="K73" s="141"/>
      <c r="L73" s="141"/>
      <c r="M73" s="143"/>
    </row>
    <row r="74" customFormat="false" ht="21" hidden="false" customHeight="true" outlineLevel="0" collapsed="false">
      <c r="A74" s="144" t="s">
        <v>909</v>
      </c>
      <c r="B74" s="145" t="s">
        <v>677</v>
      </c>
      <c r="C74" s="146" t="s">
        <v>506</v>
      </c>
      <c r="D74" s="144" t="s">
        <v>1721</v>
      </c>
      <c r="E74" s="144" t="s">
        <v>679</v>
      </c>
      <c r="F74" s="144" t="s">
        <v>162</v>
      </c>
      <c r="G74" s="147" t="n">
        <v>45600</v>
      </c>
      <c r="H74" s="146"/>
      <c r="I74" s="146"/>
      <c r="J74" s="144" t="s">
        <v>163</v>
      </c>
      <c r="K74" s="146"/>
      <c r="L74" s="146"/>
      <c r="M74" s="148"/>
    </row>
    <row r="75" customFormat="false" ht="21" hidden="false" customHeight="true" outlineLevel="0" collapsed="false">
      <c r="A75" s="139" t="s">
        <v>909</v>
      </c>
      <c r="B75" s="140" t="s">
        <v>641</v>
      </c>
      <c r="C75" s="141" t="s">
        <v>506</v>
      </c>
      <c r="D75" s="139" t="s">
        <v>642</v>
      </c>
      <c r="E75" s="139" t="s">
        <v>643</v>
      </c>
      <c r="F75" s="139" t="s">
        <v>162</v>
      </c>
      <c r="G75" s="142" t="n">
        <v>45600</v>
      </c>
      <c r="H75" s="141"/>
      <c r="I75" s="141"/>
      <c r="J75" s="139" t="s">
        <v>163</v>
      </c>
      <c r="K75" s="141"/>
      <c r="L75" s="141"/>
      <c r="M75" s="143"/>
    </row>
    <row r="76" customFormat="false" ht="21" hidden="false" customHeight="true" outlineLevel="0" collapsed="false">
      <c r="A76" s="144" t="s">
        <v>909</v>
      </c>
      <c r="B76" s="145" t="s">
        <v>272</v>
      </c>
      <c r="C76" s="146" t="s">
        <v>506</v>
      </c>
      <c r="D76" s="144" t="s">
        <v>273</v>
      </c>
      <c r="E76" s="144" t="s">
        <v>274</v>
      </c>
      <c r="F76" s="144" t="s">
        <v>162</v>
      </c>
      <c r="G76" s="147" t="n">
        <v>46278</v>
      </c>
      <c r="H76" s="146"/>
      <c r="I76" s="146"/>
      <c r="J76" s="144" t="s">
        <v>163</v>
      </c>
      <c r="K76" s="146"/>
      <c r="L76" s="146"/>
      <c r="M76" s="148"/>
    </row>
    <row r="77" customFormat="false" ht="21" hidden="false" customHeight="true" outlineLevel="0" collapsed="false">
      <c r="A77" s="139" t="s">
        <v>909</v>
      </c>
      <c r="B77" s="140" t="s">
        <v>681</v>
      </c>
      <c r="C77" s="141" t="s">
        <v>506</v>
      </c>
      <c r="D77" s="139" t="s">
        <v>682</v>
      </c>
      <c r="E77" s="139" t="s">
        <v>683</v>
      </c>
      <c r="F77" s="139" t="s">
        <v>162</v>
      </c>
      <c r="G77" s="142" t="n">
        <v>45614</v>
      </c>
      <c r="H77" s="141"/>
      <c r="I77" s="141"/>
      <c r="J77" s="139" t="s">
        <v>163</v>
      </c>
      <c r="K77" s="141"/>
      <c r="L77" s="141"/>
      <c r="M77" s="143"/>
    </row>
    <row r="78" customFormat="false" ht="21" hidden="false" customHeight="true" outlineLevel="0" collapsed="false">
      <c r="A78" s="144" t="s">
        <v>909</v>
      </c>
      <c r="B78" s="145" t="s">
        <v>276</v>
      </c>
      <c r="C78" s="146" t="s">
        <v>250</v>
      </c>
      <c r="D78" s="144" t="s">
        <v>277</v>
      </c>
      <c r="E78" s="144" t="s">
        <v>278</v>
      </c>
      <c r="F78" s="144" t="s">
        <v>162</v>
      </c>
      <c r="G78" s="147" t="n">
        <v>45704</v>
      </c>
      <c r="H78" s="146"/>
      <c r="I78" s="146"/>
      <c r="J78" s="144" t="s">
        <v>163</v>
      </c>
      <c r="K78" s="144" t="s">
        <v>279</v>
      </c>
      <c r="L78" s="146"/>
      <c r="M78" s="148"/>
    </row>
    <row r="79" customFormat="false" ht="21" hidden="false" customHeight="true" outlineLevel="0" collapsed="false">
      <c r="A79" s="139" t="s">
        <v>909</v>
      </c>
      <c r="B79" s="140" t="s">
        <v>281</v>
      </c>
      <c r="C79" s="141" t="s">
        <v>250</v>
      </c>
      <c r="D79" s="139" t="s">
        <v>282</v>
      </c>
      <c r="E79" s="139" t="s">
        <v>283</v>
      </c>
      <c r="F79" s="139" t="s">
        <v>162</v>
      </c>
      <c r="G79" s="142" t="n">
        <v>46123</v>
      </c>
      <c r="H79" s="141"/>
      <c r="I79" s="141"/>
      <c r="J79" s="139" t="s">
        <v>163</v>
      </c>
      <c r="K79" s="141"/>
      <c r="L79" s="141"/>
      <c r="M79" s="143"/>
    </row>
    <row r="80" customFormat="false" ht="21" hidden="false" customHeight="true" outlineLevel="0" collapsed="false">
      <c r="A80" s="144" t="s">
        <v>909</v>
      </c>
      <c r="B80" s="145" t="s">
        <v>286</v>
      </c>
      <c r="C80" s="146" t="s">
        <v>250</v>
      </c>
      <c r="D80" s="144" t="s">
        <v>287</v>
      </c>
      <c r="E80" s="144" t="s">
        <v>288</v>
      </c>
      <c r="F80" s="144" t="s">
        <v>162</v>
      </c>
      <c r="G80" s="147" t="n">
        <v>45709</v>
      </c>
      <c r="H80" s="146"/>
      <c r="I80" s="146"/>
      <c r="J80" s="144" t="s">
        <v>163</v>
      </c>
      <c r="K80" s="144" t="s">
        <v>290</v>
      </c>
      <c r="L80" s="146"/>
      <c r="M80" s="148"/>
    </row>
    <row r="81" customFormat="false" ht="21" hidden="false" customHeight="true" outlineLevel="0" collapsed="false">
      <c r="A81" s="139" t="s">
        <v>909</v>
      </c>
      <c r="B81" s="140" t="s">
        <v>293</v>
      </c>
      <c r="C81" s="141" t="s">
        <v>250</v>
      </c>
      <c r="D81" s="139" t="s">
        <v>294</v>
      </c>
      <c r="E81" s="139" t="s">
        <v>295</v>
      </c>
      <c r="F81" s="139" t="s">
        <v>162</v>
      </c>
      <c r="G81" s="142" t="n">
        <v>46130</v>
      </c>
      <c r="H81" s="141"/>
      <c r="I81" s="141"/>
      <c r="J81" s="139" t="s">
        <v>163</v>
      </c>
      <c r="K81" s="141"/>
      <c r="L81" s="141"/>
      <c r="M81" s="143"/>
    </row>
    <row r="82" customFormat="false" ht="21" hidden="false" customHeight="true" outlineLevel="0" collapsed="false">
      <c r="A82" s="144" t="s">
        <v>909</v>
      </c>
      <c r="B82" s="145" t="s">
        <v>297</v>
      </c>
      <c r="C82" s="146" t="s">
        <v>506</v>
      </c>
      <c r="D82" s="144" t="s">
        <v>298</v>
      </c>
      <c r="E82" s="144" t="s">
        <v>299</v>
      </c>
      <c r="F82" s="144" t="s">
        <v>162</v>
      </c>
      <c r="G82" s="147" t="n">
        <v>46278</v>
      </c>
      <c r="H82" s="146"/>
      <c r="I82" s="146"/>
      <c r="J82" s="144" t="s">
        <v>163</v>
      </c>
      <c r="K82" s="146"/>
      <c r="L82" s="146"/>
      <c r="M82" s="148"/>
    </row>
    <row r="83" customFormat="false" ht="21" hidden="false" customHeight="true" outlineLevel="0" collapsed="false">
      <c r="A83" s="139" t="s">
        <v>909</v>
      </c>
      <c r="B83" s="140" t="s">
        <v>1722</v>
      </c>
      <c r="C83" s="141" t="s">
        <v>159</v>
      </c>
      <c r="D83" s="139" t="s">
        <v>303</v>
      </c>
      <c r="E83" s="139" t="s">
        <v>304</v>
      </c>
      <c r="F83" s="139" t="s">
        <v>162</v>
      </c>
      <c r="G83" s="142" t="n">
        <v>45914</v>
      </c>
      <c r="H83" s="141"/>
      <c r="I83" s="141"/>
      <c r="J83" s="139" t="s">
        <v>163</v>
      </c>
      <c r="K83" s="141"/>
      <c r="L83" s="141"/>
      <c r="M83" s="143"/>
    </row>
    <row r="84" customFormat="false" ht="21" hidden="false" customHeight="true" outlineLevel="0" collapsed="false">
      <c r="A84" s="144" t="s">
        <v>909</v>
      </c>
      <c r="B84" s="145" t="s">
        <v>306</v>
      </c>
      <c r="C84" s="146" t="s">
        <v>250</v>
      </c>
      <c r="D84" s="144" t="s">
        <v>307</v>
      </c>
      <c r="E84" s="144" t="s">
        <v>308</v>
      </c>
      <c r="F84" s="144" t="s">
        <v>162</v>
      </c>
      <c r="G84" s="147" t="n">
        <v>46042</v>
      </c>
      <c r="H84" s="146"/>
      <c r="I84" s="146"/>
      <c r="J84" s="144" t="s">
        <v>163</v>
      </c>
      <c r="K84" s="146"/>
      <c r="L84" s="146"/>
      <c r="M84" s="148"/>
    </row>
    <row r="85" customFormat="false" ht="21" hidden="false" customHeight="true" outlineLevel="0" collapsed="false">
      <c r="A85" s="139" t="s">
        <v>909</v>
      </c>
      <c r="B85" s="140" t="s">
        <v>312</v>
      </c>
      <c r="C85" s="141" t="s">
        <v>250</v>
      </c>
      <c r="D85" s="139" t="s">
        <v>313</v>
      </c>
      <c r="E85" s="139" t="s">
        <v>314</v>
      </c>
      <c r="F85" s="139" t="s">
        <v>162</v>
      </c>
      <c r="G85" s="142" t="n">
        <v>46130</v>
      </c>
      <c r="H85" s="141"/>
      <c r="I85" s="141"/>
      <c r="J85" s="139" t="s">
        <v>163</v>
      </c>
      <c r="K85" s="141"/>
      <c r="L85" s="141"/>
      <c r="M85" s="143"/>
    </row>
    <row r="86" customFormat="false" ht="21" hidden="false" customHeight="true" outlineLevel="0" collapsed="false">
      <c r="A86" s="144" t="s">
        <v>909</v>
      </c>
      <c r="B86" s="145" t="s">
        <v>316</v>
      </c>
      <c r="C86" s="146" t="s">
        <v>250</v>
      </c>
      <c r="D86" s="144" t="s">
        <v>317</v>
      </c>
      <c r="E86" s="144" t="s">
        <v>318</v>
      </c>
      <c r="F86" s="144" t="s">
        <v>162</v>
      </c>
      <c r="G86" s="147" t="n">
        <v>46205</v>
      </c>
      <c r="H86" s="146"/>
      <c r="I86" s="146"/>
      <c r="J86" s="144" t="s">
        <v>163</v>
      </c>
      <c r="K86" s="146"/>
      <c r="L86" s="146"/>
      <c r="M86" s="148"/>
    </row>
    <row r="87" customFormat="false" ht="21" hidden="false" customHeight="true" outlineLevel="0" collapsed="false">
      <c r="A87" s="139" t="s">
        <v>909</v>
      </c>
      <c r="B87" s="140" t="s">
        <v>320</v>
      </c>
      <c r="C87" s="141" t="s">
        <v>250</v>
      </c>
      <c r="D87" s="139" t="s">
        <v>321</v>
      </c>
      <c r="E87" s="139" t="s">
        <v>322</v>
      </c>
      <c r="F87" s="139" t="s">
        <v>162</v>
      </c>
      <c r="G87" s="142" t="n">
        <v>45731</v>
      </c>
      <c r="H87" s="141"/>
      <c r="I87" s="141"/>
      <c r="J87" s="139" t="s">
        <v>163</v>
      </c>
      <c r="K87" s="139" t="s">
        <v>323</v>
      </c>
      <c r="L87" s="141"/>
      <c r="M87" s="143"/>
    </row>
    <row r="88" customFormat="false" ht="21" hidden="false" customHeight="true" outlineLevel="0" collapsed="false">
      <c r="A88" s="144" t="s">
        <v>909</v>
      </c>
      <c r="B88" s="145" t="s">
        <v>325</v>
      </c>
      <c r="C88" s="146" t="s">
        <v>250</v>
      </c>
      <c r="D88" s="144" t="s">
        <v>326</v>
      </c>
      <c r="E88" s="144" t="s">
        <v>327</v>
      </c>
      <c r="F88" s="144" t="s">
        <v>162</v>
      </c>
      <c r="G88" s="147" t="n">
        <v>45706</v>
      </c>
      <c r="H88" s="146"/>
      <c r="I88" s="146"/>
      <c r="J88" s="144" t="s">
        <v>163</v>
      </c>
      <c r="K88" s="146"/>
      <c r="L88" s="146"/>
      <c r="M88" s="148"/>
    </row>
    <row r="89" customFormat="false" ht="21" hidden="false" customHeight="true" outlineLevel="0" collapsed="false">
      <c r="A89" s="139" t="s">
        <v>909</v>
      </c>
      <c r="B89" s="140" t="s">
        <v>329</v>
      </c>
      <c r="C89" s="141" t="s">
        <v>176</v>
      </c>
      <c r="D89" s="139" t="s">
        <v>330</v>
      </c>
      <c r="E89" s="139" t="s">
        <v>331</v>
      </c>
      <c r="F89" s="139" t="s">
        <v>162</v>
      </c>
      <c r="G89" s="142" t="n">
        <v>45776</v>
      </c>
      <c r="H89" s="141"/>
      <c r="I89" s="141"/>
      <c r="J89" s="139" t="s">
        <v>163</v>
      </c>
      <c r="K89" s="141"/>
      <c r="L89" s="141"/>
      <c r="M89" s="143"/>
    </row>
    <row r="90" customFormat="false" ht="21" hidden="false" customHeight="true" outlineLevel="0" collapsed="false">
      <c r="A90" s="144" t="s">
        <v>909</v>
      </c>
      <c r="B90" s="145" t="s">
        <v>333</v>
      </c>
      <c r="C90" s="146" t="s">
        <v>176</v>
      </c>
      <c r="D90" s="144" t="s">
        <v>334</v>
      </c>
      <c r="E90" s="144" t="s">
        <v>335</v>
      </c>
      <c r="F90" s="144" t="s">
        <v>162</v>
      </c>
      <c r="G90" s="147" t="n">
        <v>45914</v>
      </c>
      <c r="H90" s="146"/>
      <c r="I90" s="146"/>
      <c r="J90" s="144" t="s">
        <v>163</v>
      </c>
      <c r="K90" s="146"/>
      <c r="L90" s="146"/>
      <c r="M90" s="148"/>
    </row>
    <row r="91" customFormat="false" ht="21" hidden="false" customHeight="true" outlineLevel="0" collapsed="false">
      <c r="A91" s="139" t="s">
        <v>909</v>
      </c>
      <c r="B91" s="140" t="s">
        <v>337</v>
      </c>
      <c r="C91" s="141" t="s">
        <v>176</v>
      </c>
      <c r="D91" s="139" t="s">
        <v>338</v>
      </c>
      <c r="E91" s="139" t="s">
        <v>339</v>
      </c>
      <c r="F91" s="139" t="s">
        <v>162</v>
      </c>
      <c r="G91" s="142" t="n">
        <v>45914</v>
      </c>
      <c r="H91" s="141"/>
      <c r="I91" s="141"/>
      <c r="J91" s="139" t="s">
        <v>163</v>
      </c>
      <c r="K91" s="141"/>
      <c r="L91" s="141"/>
      <c r="M91" s="143"/>
    </row>
    <row r="92" customFormat="false" ht="21" hidden="false" customHeight="true" outlineLevel="0" collapsed="false">
      <c r="A92" s="144" t="s">
        <v>909</v>
      </c>
      <c r="B92" s="145" t="s">
        <v>341</v>
      </c>
      <c r="C92" s="146" t="s">
        <v>250</v>
      </c>
      <c r="D92" s="144" t="s">
        <v>342</v>
      </c>
      <c r="E92" s="144" t="s">
        <v>343</v>
      </c>
      <c r="F92" s="144" t="s">
        <v>162</v>
      </c>
      <c r="G92" s="147" t="n">
        <v>45950</v>
      </c>
      <c r="H92" s="146"/>
      <c r="I92" s="146"/>
      <c r="J92" s="144" t="s">
        <v>163</v>
      </c>
      <c r="K92" s="146"/>
      <c r="L92" s="146"/>
      <c r="M92" s="148"/>
    </row>
    <row r="93" customFormat="false" ht="21" hidden="false" customHeight="true" outlineLevel="0" collapsed="false">
      <c r="A93" s="139" t="s">
        <v>909</v>
      </c>
      <c r="B93" s="140" t="s">
        <v>345</v>
      </c>
      <c r="C93" s="141" t="s">
        <v>176</v>
      </c>
      <c r="D93" s="139" t="s">
        <v>346</v>
      </c>
      <c r="E93" s="139" t="s">
        <v>347</v>
      </c>
      <c r="F93" s="139" t="s">
        <v>162</v>
      </c>
      <c r="G93" s="142" t="n">
        <v>45914</v>
      </c>
      <c r="H93" s="141"/>
      <c r="I93" s="141"/>
      <c r="J93" s="139" t="s">
        <v>163</v>
      </c>
      <c r="K93" s="141"/>
      <c r="L93" s="141"/>
      <c r="M93" s="143"/>
    </row>
    <row r="94" customFormat="false" ht="21" hidden="false" customHeight="true" outlineLevel="0" collapsed="false">
      <c r="A94" s="144" t="s">
        <v>909</v>
      </c>
      <c r="B94" s="145" t="s">
        <v>349</v>
      </c>
      <c r="C94" s="146" t="s">
        <v>159</v>
      </c>
      <c r="D94" s="144" t="s">
        <v>350</v>
      </c>
      <c r="E94" s="144" t="s">
        <v>351</v>
      </c>
      <c r="F94" s="144" t="s">
        <v>162</v>
      </c>
      <c r="G94" s="147" t="n">
        <v>45704</v>
      </c>
      <c r="H94" s="146"/>
      <c r="I94" s="146"/>
      <c r="J94" s="144" t="s">
        <v>163</v>
      </c>
      <c r="K94" s="144" t="s">
        <v>910</v>
      </c>
      <c r="L94" s="146"/>
      <c r="M94" s="148"/>
    </row>
    <row r="95" customFormat="false" ht="21" hidden="false" customHeight="true" outlineLevel="0" collapsed="false">
      <c r="A95" s="139" t="s">
        <v>909</v>
      </c>
      <c r="B95" s="140" t="s">
        <v>599</v>
      </c>
      <c r="C95" s="141" t="s">
        <v>302</v>
      </c>
      <c r="D95" s="139" t="s">
        <v>1723</v>
      </c>
      <c r="E95" s="139" t="s">
        <v>1724</v>
      </c>
      <c r="F95" s="139" t="s">
        <v>162</v>
      </c>
      <c r="G95" s="142" t="n">
        <v>46123</v>
      </c>
      <c r="H95" s="141"/>
      <c r="I95" s="141"/>
      <c r="J95" s="139" t="s">
        <v>163</v>
      </c>
      <c r="K95" s="141"/>
      <c r="L95" s="141"/>
      <c r="M95" s="143"/>
    </row>
    <row r="96" customFormat="false" ht="21" hidden="false" customHeight="true" outlineLevel="0" collapsed="false">
      <c r="A96" s="144" t="s">
        <v>909</v>
      </c>
      <c r="B96" s="145" t="s">
        <v>668</v>
      </c>
      <c r="C96" s="146" t="s">
        <v>302</v>
      </c>
      <c r="D96" s="144" t="s">
        <v>1725</v>
      </c>
      <c r="E96" s="144" t="s">
        <v>1726</v>
      </c>
      <c r="F96" s="144" t="s">
        <v>162</v>
      </c>
      <c r="G96" s="147" t="n">
        <v>46205</v>
      </c>
      <c r="H96" s="146"/>
      <c r="I96" s="146"/>
      <c r="J96" s="144" t="s">
        <v>163</v>
      </c>
      <c r="K96" s="146"/>
      <c r="L96" s="146"/>
      <c r="M96" s="148"/>
    </row>
    <row r="97" customFormat="false" ht="21" hidden="false" customHeight="true" outlineLevel="0" collapsed="false">
      <c r="A97" s="139" t="s">
        <v>909</v>
      </c>
      <c r="B97" s="140" t="s">
        <v>354</v>
      </c>
      <c r="C97" s="141" t="s">
        <v>600</v>
      </c>
      <c r="D97" s="139" t="s">
        <v>355</v>
      </c>
      <c r="E97" s="139" t="s">
        <v>356</v>
      </c>
      <c r="F97" s="139" t="s">
        <v>162</v>
      </c>
      <c r="G97" s="142" t="n">
        <v>45585</v>
      </c>
      <c r="H97" s="141"/>
      <c r="I97" s="141"/>
      <c r="J97" s="139" t="s">
        <v>163</v>
      </c>
      <c r="K97" s="141"/>
      <c r="L97" s="141"/>
      <c r="M97" s="143"/>
    </row>
    <row r="98" customFormat="false" ht="21" hidden="false" customHeight="true" outlineLevel="0" collapsed="false">
      <c r="A98" s="144" t="s">
        <v>909</v>
      </c>
      <c r="B98" s="145" t="s">
        <v>655</v>
      </c>
      <c r="C98" s="146" t="s">
        <v>250</v>
      </c>
      <c r="D98" s="144" t="s">
        <v>656</v>
      </c>
      <c r="E98" s="144" t="s">
        <v>1727</v>
      </c>
      <c r="F98" s="144" t="s">
        <v>162</v>
      </c>
      <c r="G98" s="147" t="n">
        <v>46132</v>
      </c>
      <c r="H98" s="146"/>
      <c r="I98" s="146"/>
      <c r="J98" s="144" t="s">
        <v>163</v>
      </c>
      <c r="K98" s="146"/>
      <c r="L98" s="146"/>
      <c r="M98" s="148"/>
    </row>
    <row r="99" customFormat="false" ht="21" hidden="false" customHeight="true" outlineLevel="0" collapsed="false">
      <c r="A99" s="139" t="s">
        <v>909</v>
      </c>
      <c r="B99" s="140" t="s">
        <v>622</v>
      </c>
      <c r="C99" s="141" t="s">
        <v>506</v>
      </c>
      <c r="D99" s="139" t="s">
        <v>623</v>
      </c>
      <c r="E99" s="139" t="s">
        <v>1728</v>
      </c>
      <c r="F99" s="139" t="s">
        <v>162</v>
      </c>
      <c r="G99" s="142" t="n">
        <v>46042</v>
      </c>
      <c r="H99" s="141"/>
      <c r="I99" s="141"/>
      <c r="J99" s="139" t="s">
        <v>163</v>
      </c>
      <c r="K99" s="141"/>
      <c r="L99" s="141"/>
      <c r="M99" s="143"/>
    </row>
    <row r="100" customFormat="false" ht="21" hidden="false" customHeight="true" outlineLevel="0" collapsed="false">
      <c r="A100" s="144" t="s">
        <v>909</v>
      </c>
      <c r="B100" s="145" t="s">
        <v>505</v>
      </c>
      <c r="C100" s="146" t="s">
        <v>600</v>
      </c>
      <c r="D100" s="144" t="s">
        <v>507</v>
      </c>
      <c r="E100" s="144" t="s">
        <v>508</v>
      </c>
      <c r="F100" s="144" t="s">
        <v>162</v>
      </c>
      <c r="G100" s="147" t="n">
        <v>46278</v>
      </c>
      <c r="H100" s="146"/>
      <c r="I100" s="146"/>
      <c r="J100" s="144" t="s">
        <v>163</v>
      </c>
      <c r="K100" s="144" t="s">
        <v>509</v>
      </c>
      <c r="L100" s="146"/>
      <c r="M100" s="148"/>
    </row>
    <row r="101" customFormat="false" ht="21" hidden="false" customHeight="true" outlineLevel="0" collapsed="false">
      <c r="A101" s="139" t="s">
        <v>909</v>
      </c>
      <c r="B101" s="140" t="s">
        <v>511</v>
      </c>
      <c r="C101" s="141" t="s">
        <v>250</v>
      </c>
      <c r="D101" s="139" t="s">
        <v>512</v>
      </c>
      <c r="E101" s="139" t="s">
        <v>513</v>
      </c>
      <c r="F101" s="139" t="s">
        <v>162</v>
      </c>
      <c r="G101" s="142" t="n">
        <v>45723</v>
      </c>
      <c r="H101" s="141"/>
      <c r="I101" s="141"/>
      <c r="J101" s="139" t="s">
        <v>163</v>
      </c>
      <c r="K101" s="141"/>
      <c r="L101" s="141"/>
      <c r="M101" s="143"/>
    </row>
    <row r="102" customFormat="false" ht="21" hidden="false" customHeight="true" outlineLevel="0" collapsed="false">
      <c r="A102" s="144" t="s">
        <v>909</v>
      </c>
      <c r="B102" s="145" t="s">
        <v>358</v>
      </c>
      <c r="C102" s="146" t="s">
        <v>1729</v>
      </c>
      <c r="D102" s="144" t="s">
        <v>359</v>
      </c>
      <c r="E102" s="144" t="s">
        <v>360</v>
      </c>
      <c r="F102" s="144" t="s">
        <v>361</v>
      </c>
      <c r="G102" s="147" t="n">
        <v>45411</v>
      </c>
      <c r="H102" s="146"/>
      <c r="I102" s="146"/>
      <c r="J102" s="144" t="s">
        <v>1730</v>
      </c>
      <c r="K102" s="144" t="s">
        <v>362</v>
      </c>
      <c r="L102" s="146"/>
      <c r="M102" s="148"/>
    </row>
    <row r="103" customFormat="false" ht="21" hidden="false" customHeight="true" outlineLevel="0" collapsed="false">
      <c r="A103" s="139" t="s">
        <v>909</v>
      </c>
      <c r="B103" s="140" t="s">
        <v>369</v>
      </c>
      <c r="C103" s="141" t="s">
        <v>250</v>
      </c>
      <c r="D103" s="139" t="s">
        <v>370</v>
      </c>
      <c r="E103" s="139" t="s">
        <v>371</v>
      </c>
      <c r="F103" s="139" t="s">
        <v>162</v>
      </c>
      <c r="G103" s="142" t="n">
        <v>45585</v>
      </c>
      <c r="H103" s="141"/>
      <c r="I103" s="141"/>
      <c r="J103" s="139" t="s">
        <v>163</v>
      </c>
      <c r="K103" s="141"/>
      <c r="L103" s="141"/>
      <c r="M103" s="143"/>
    </row>
    <row r="104" customFormat="false" ht="21" hidden="false" customHeight="true" outlineLevel="0" collapsed="false">
      <c r="A104" s="144" t="s">
        <v>909</v>
      </c>
      <c r="B104" s="145" t="s">
        <v>515</v>
      </c>
      <c r="C104" s="146" t="s">
        <v>159</v>
      </c>
      <c r="D104" s="144" t="s">
        <v>516</v>
      </c>
      <c r="E104" s="144" t="s">
        <v>1731</v>
      </c>
      <c r="F104" s="144" t="s">
        <v>162</v>
      </c>
      <c r="G104" s="147" t="n">
        <v>46123</v>
      </c>
      <c r="H104" s="146"/>
      <c r="I104" s="146"/>
      <c r="J104" s="144" t="s">
        <v>163</v>
      </c>
      <c r="K104" s="144" t="s">
        <v>518</v>
      </c>
      <c r="L104" s="146"/>
      <c r="M104" s="148"/>
    </row>
    <row r="105" customFormat="false" ht="21" hidden="false" customHeight="true" outlineLevel="0" collapsed="false">
      <c r="A105" s="139" t="s">
        <v>909</v>
      </c>
      <c r="B105" s="140" t="s">
        <v>663</v>
      </c>
      <c r="C105" s="141" t="s">
        <v>191</v>
      </c>
      <c r="D105" s="139" t="s">
        <v>665</v>
      </c>
      <c r="E105" s="139" t="s">
        <v>1732</v>
      </c>
      <c r="F105" s="139" t="s">
        <v>162</v>
      </c>
      <c r="G105" s="142" t="n">
        <v>46123</v>
      </c>
      <c r="H105" s="141"/>
      <c r="I105" s="141"/>
      <c r="J105" s="139" t="s">
        <v>163</v>
      </c>
      <c r="K105" s="141"/>
      <c r="L105" s="141"/>
      <c r="M105" s="143"/>
    </row>
    <row r="106" customFormat="false" ht="21" hidden="false" customHeight="true" outlineLevel="0" collapsed="false">
      <c r="A106" s="144" t="s">
        <v>909</v>
      </c>
      <c r="B106" s="145" t="s">
        <v>376</v>
      </c>
      <c r="C106" s="146" t="s">
        <v>176</v>
      </c>
      <c r="D106" s="144" t="s">
        <v>377</v>
      </c>
      <c r="E106" s="144" t="s">
        <v>378</v>
      </c>
      <c r="F106" s="144" t="s">
        <v>162</v>
      </c>
      <c r="G106" s="147" t="n">
        <v>45983</v>
      </c>
      <c r="H106" s="146"/>
      <c r="I106" s="144" t="s">
        <v>309</v>
      </c>
      <c r="J106" s="144" t="s">
        <v>310</v>
      </c>
      <c r="K106" s="144" t="s">
        <v>380</v>
      </c>
      <c r="L106" s="146"/>
      <c r="M106" s="148"/>
    </row>
    <row r="107" customFormat="false" ht="21" hidden="false" customHeight="true" outlineLevel="0" collapsed="false">
      <c r="A107" s="139" t="s">
        <v>909</v>
      </c>
      <c r="B107" s="140" t="s">
        <v>382</v>
      </c>
      <c r="C107" s="141" t="s">
        <v>159</v>
      </c>
      <c r="D107" s="139" t="s">
        <v>383</v>
      </c>
      <c r="E107" s="139" t="s">
        <v>384</v>
      </c>
      <c r="F107" s="139" t="s">
        <v>162</v>
      </c>
      <c r="G107" s="142" t="n">
        <v>46059</v>
      </c>
      <c r="H107" s="141"/>
      <c r="I107" s="139" t="s">
        <v>309</v>
      </c>
      <c r="J107" s="139" t="s">
        <v>310</v>
      </c>
      <c r="K107" s="139" t="s">
        <v>385</v>
      </c>
      <c r="L107" s="141"/>
      <c r="M107" s="143"/>
    </row>
    <row r="108" customFormat="false" ht="21" hidden="false" customHeight="true" outlineLevel="0" collapsed="false">
      <c r="A108" s="144" t="s">
        <v>909</v>
      </c>
      <c r="B108" s="145" t="s">
        <v>1733</v>
      </c>
      <c r="C108" s="146" t="s">
        <v>250</v>
      </c>
      <c r="D108" s="144" t="s">
        <v>521</v>
      </c>
      <c r="E108" s="144" t="s">
        <v>1734</v>
      </c>
      <c r="F108" s="144" t="s">
        <v>162</v>
      </c>
      <c r="G108" s="147" t="n">
        <v>46129</v>
      </c>
      <c r="H108" s="146"/>
      <c r="I108" s="144" t="s">
        <v>309</v>
      </c>
      <c r="J108" s="144" t="s">
        <v>1735</v>
      </c>
      <c r="K108" s="146"/>
      <c r="L108" s="146"/>
      <c r="M108" s="148"/>
    </row>
    <row r="109" customFormat="false" ht="21" hidden="false" customHeight="true" outlineLevel="0" collapsed="false">
      <c r="A109" s="139" t="s">
        <v>909</v>
      </c>
      <c r="B109" s="140" t="s">
        <v>387</v>
      </c>
      <c r="C109" s="141" t="s">
        <v>250</v>
      </c>
      <c r="D109" s="139" t="s">
        <v>388</v>
      </c>
      <c r="E109" s="139" t="s">
        <v>389</v>
      </c>
      <c r="F109" s="139" t="s">
        <v>162</v>
      </c>
      <c r="G109" s="142" t="n">
        <v>46266</v>
      </c>
      <c r="H109" s="141"/>
      <c r="I109" s="139" t="s">
        <v>309</v>
      </c>
      <c r="J109" s="139" t="s">
        <v>1736</v>
      </c>
      <c r="K109" s="139" t="s">
        <v>392</v>
      </c>
      <c r="L109" s="141"/>
      <c r="M109" s="143"/>
    </row>
    <row r="110" customFormat="false" ht="21" hidden="false" customHeight="true" outlineLevel="0" collapsed="false">
      <c r="A110" s="144" t="s">
        <v>909</v>
      </c>
      <c r="B110" s="145" t="s">
        <v>394</v>
      </c>
      <c r="C110" s="146" t="s">
        <v>250</v>
      </c>
      <c r="D110" s="144" t="s">
        <v>395</v>
      </c>
      <c r="E110" s="144" t="s">
        <v>396</v>
      </c>
      <c r="F110" s="144" t="s">
        <v>162</v>
      </c>
      <c r="G110" s="147" t="n">
        <v>45712</v>
      </c>
      <c r="H110" s="146"/>
      <c r="I110" s="144" t="s">
        <v>309</v>
      </c>
      <c r="J110" s="144" t="s">
        <v>310</v>
      </c>
      <c r="K110" s="144" t="s">
        <v>397</v>
      </c>
      <c r="L110" s="146"/>
      <c r="M110" s="148"/>
    </row>
    <row r="111" customFormat="false" ht="21" hidden="false" customHeight="true" outlineLevel="0" collapsed="false">
      <c r="A111" s="139" t="s">
        <v>909</v>
      </c>
      <c r="B111" s="140" t="s">
        <v>524</v>
      </c>
      <c r="C111" s="141" t="s">
        <v>1737</v>
      </c>
      <c r="D111" s="139" t="s">
        <v>526</v>
      </c>
      <c r="E111" s="139" t="s">
        <v>527</v>
      </c>
      <c r="F111" s="139" t="s">
        <v>162</v>
      </c>
      <c r="G111" s="142" t="n">
        <v>46069</v>
      </c>
      <c r="H111" s="141"/>
      <c r="I111" s="139" t="s">
        <v>309</v>
      </c>
      <c r="J111" s="139" t="s">
        <v>528</v>
      </c>
      <c r="K111" s="141"/>
      <c r="L111" s="141"/>
      <c r="M111" s="143"/>
    </row>
    <row r="112" customFormat="false" ht="21" hidden="false" customHeight="true" outlineLevel="0" collapsed="false">
      <c r="A112" s="144" t="s">
        <v>909</v>
      </c>
      <c r="B112" s="145" t="s">
        <v>530</v>
      </c>
      <c r="C112" s="146" t="s">
        <v>664</v>
      </c>
      <c r="D112" s="144" t="s">
        <v>532</v>
      </c>
      <c r="E112" s="144" t="s">
        <v>533</v>
      </c>
      <c r="F112" s="144" t="s">
        <v>162</v>
      </c>
      <c r="G112" s="147" t="n">
        <v>46150</v>
      </c>
      <c r="H112" s="146"/>
      <c r="I112" s="144" t="s">
        <v>309</v>
      </c>
      <c r="J112" s="144" t="s">
        <v>528</v>
      </c>
      <c r="K112" s="146"/>
      <c r="L112" s="146"/>
      <c r="M112" s="148"/>
    </row>
    <row r="113" customFormat="false" ht="21" hidden="false" customHeight="true" outlineLevel="0" collapsed="false">
      <c r="A113" s="139" t="s">
        <v>909</v>
      </c>
      <c r="B113" s="140" t="s">
        <v>1215</v>
      </c>
      <c r="C113" s="141" t="s">
        <v>302</v>
      </c>
      <c r="D113" s="139" t="s">
        <v>1216</v>
      </c>
      <c r="E113" s="139" t="s">
        <v>1217</v>
      </c>
      <c r="F113" s="139" t="s">
        <v>162</v>
      </c>
      <c r="G113" s="142" t="n">
        <v>45523</v>
      </c>
      <c r="H113" s="141"/>
      <c r="I113" s="139" t="s">
        <v>309</v>
      </c>
      <c r="J113" s="139" t="s">
        <v>1738</v>
      </c>
      <c r="K113" s="141"/>
      <c r="L113" s="141"/>
      <c r="M113" s="143"/>
    </row>
    <row r="114" customFormat="false" ht="21" hidden="false" customHeight="true" outlineLevel="0" collapsed="false">
      <c r="A114" s="144" t="s">
        <v>909</v>
      </c>
      <c r="B114" s="145" t="s">
        <v>399</v>
      </c>
      <c r="C114" s="146" t="s">
        <v>159</v>
      </c>
      <c r="D114" s="144" t="s">
        <v>400</v>
      </c>
      <c r="E114" s="144" t="s">
        <v>401</v>
      </c>
      <c r="F114" s="144" t="s">
        <v>162</v>
      </c>
      <c r="G114" s="147" t="n">
        <v>45984</v>
      </c>
      <c r="H114" s="146"/>
      <c r="I114" s="144" t="s">
        <v>309</v>
      </c>
      <c r="J114" s="144" t="s">
        <v>310</v>
      </c>
      <c r="K114" s="144" t="s">
        <v>402</v>
      </c>
      <c r="L114" s="146"/>
      <c r="M114" s="148"/>
    </row>
    <row r="115" customFormat="false" ht="21" hidden="false" customHeight="true" outlineLevel="0" collapsed="false">
      <c r="A115" s="139" t="s">
        <v>909</v>
      </c>
      <c r="B115" s="140" t="s">
        <v>404</v>
      </c>
      <c r="C115" s="141" t="s">
        <v>176</v>
      </c>
      <c r="D115" s="139" t="s">
        <v>405</v>
      </c>
      <c r="E115" s="139" t="s">
        <v>406</v>
      </c>
      <c r="F115" s="139" t="s">
        <v>162</v>
      </c>
      <c r="G115" s="142" t="n">
        <v>45983</v>
      </c>
      <c r="H115" s="141"/>
      <c r="I115" s="139" t="s">
        <v>309</v>
      </c>
      <c r="J115" s="139" t="s">
        <v>310</v>
      </c>
      <c r="K115" s="139" t="s">
        <v>407</v>
      </c>
      <c r="L115" s="141"/>
      <c r="M115" s="143"/>
    </row>
    <row r="116" customFormat="false" ht="21" hidden="false" customHeight="true" outlineLevel="0" collapsed="false">
      <c r="A116" s="144" t="s">
        <v>909</v>
      </c>
      <c r="B116" s="145" t="s">
        <v>409</v>
      </c>
      <c r="C116" s="146" t="s">
        <v>176</v>
      </c>
      <c r="D116" s="144" t="s">
        <v>410</v>
      </c>
      <c r="E116" s="144" t="s">
        <v>411</v>
      </c>
      <c r="F116" s="144" t="s">
        <v>162</v>
      </c>
      <c r="G116" s="147" t="n">
        <v>46159</v>
      </c>
      <c r="H116" s="146"/>
      <c r="I116" s="144" t="s">
        <v>309</v>
      </c>
      <c r="J116" s="144" t="s">
        <v>1739</v>
      </c>
      <c r="K116" s="146"/>
      <c r="L116" s="146"/>
      <c r="M116" s="148"/>
    </row>
    <row r="117" customFormat="false" ht="21" hidden="false" customHeight="true" outlineLevel="0" collapsed="false">
      <c r="A117" s="139" t="s">
        <v>909</v>
      </c>
      <c r="B117" s="140" t="s">
        <v>414</v>
      </c>
      <c r="C117" s="141" t="s">
        <v>250</v>
      </c>
      <c r="D117" s="139" t="s">
        <v>415</v>
      </c>
      <c r="E117" s="139" t="s">
        <v>416</v>
      </c>
      <c r="F117" s="139" t="s">
        <v>162</v>
      </c>
      <c r="G117" s="142" t="n">
        <v>45362</v>
      </c>
      <c r="H117" s="141"/>
      <c r="I117" s="139" t="s">
        <v>309</v>
      </c>
      <c r="J117" s="139" t="s">
        <v>310</v>
      </c>
      <c r="K117" s="139" t="s">
        <v>417</v>
      </c>
      <c r="L117" s="141"/>
      <c r="M117" s="143"/>
    </row>
    <row r="118" customFormat="false" ht="21" hidden="false" customHeight="true" outlineLevel="0" collapsed="false">
      <c r="A118" s="144" t="s">
        <v>909</v>
      </c>
      <c r="B118" s="145" t="s">
        <v>419</v>
      </c>
      <c r="C118" s="146" t="s">
        <v>159</v>
      </c>
      <c r="D118" s="144" t="s">
        <v>420</v>
      </c>
      <c r="E118" s="144" t="s">
        <v>421</v>
      </c>
      <c r="F118" s="144" t="s">
        <v>162</v>
      </c>
      <c r="G118" s="147" t="n">
        <v>45661</v>
      </c>
      <c r="H118" s="146"/>
      <c r="I118" s="144" t="s">
        <v>309</v>
      </c>
      <c r="J118" s="144" t="s">
        <v>310</v>
      </c>
      <c r="K118" s="144" t="s">
        <v>422</v>
      </c>
      <c r="L118" s="146"/>
      <c r="M118" s="148"/>
    </row>
    <row r="119" customFormat="false" ht="21" hidden="false" customHeight="true" outlineLevel="0" collapsed="false">
      <c r="A119" s="139" t="s">
        <v>909</v>
      </c>
      <c r="B119" s="140" t="s">
        <v>424</v>
      </c>
      <c r="C119" s="141" t="s">
        <v>250</v>
      </c>
      <c r="D119" s="139" t="s">
        <v>425</v>
      </c>
      <c r="E119" s="139" t="s">
        <v>426</v>
      </c>
      <c r="F119" s="139" t="s">
        <v>162</v>
      </c>
      <c r="G119" s="142" t="n">
        <v>45936</v>
      </c>
      <c r="H119" s="141"/>
      <c r="I119" s="139" t="s">
        <v>309</v>
      </c>
      <c r="J119" s="139" t="s">
        <v>310</v>
      </c>
      <c r="K119" s="141"/>
      <c r="L119" s="141"/>
      <c r="M119" s="143"/>
    </row>
    <row r="120" customFormat="false" ht="21" hidden="false" customHeight="true" outlineLevel="0" collapsed="false">
      <c r="A120" s="144" t="s">
        <v>909</v>
      </c>
      <c r="B120" s="145" t="s">
        <v>429</v>
      </c>
      <c r="C120" s="146" t="s">
        <v>159</v>
      </c>
      <c r="D120" s="144" t="s">
        <v>430</v>
      </c>
      <c r="E120" s="144" t="s">
        <v>431</v>
      </c>
      <c r="F120" s="144" t="s">
        <v>162</v>
      </c>
      <c r="G120" s="147" t="n">
        <v>46095</v>
      </c>
      <c r="H120" s="146"/>
      <c r="I120" s="144" t="s">
        <v>309</v>
      </c>
      <c r="J120" s="144" t="s">
        <v>310</v>
      </c>
      <c r="K120" s="144" t="s">
        <v>432</v>
      </c>
      <c r="L120" s="146"/>
      <c r="M120" s="148"/>
    </row>
    <row r="121" customFormat="false" ht="21" hidden="false" customHeight="true" outlineLevel="0" collapsed="false">
      <c r="A121" s="139" t="s">
        <v>909</v>
      </c>
      <c r="B121" s="140" t="s">
        <v>434</v>
      </c>
      <c r="C121" s="141" t="s">
        <v>159</v>
      </c>
      <c r="D121" s="139" t="s">
        <v>435</v>
      </c>
      <c r="E121" s="139" t="s">
        <v>436</v>
      </c>
      <c r="F121" s="139" t="s">
        <v>162</v>
      </c>
      <c r="G121" s="142" t="n">
        <v>46028</v>
      </c>
      <c r="H121" s="141"/>
      <c r="I121" s="139" t="s">
        <v>309</v>
      </c>
      <c r="J121" s="139" t="s">
        <v>1740</v>
      </c>
      <c r="K121" s="141"/>
      <c r="L121" s="141"/>
      <c r="M121" s="143"/>
    </row>
    <row r="122" customFormat="false" ht="21" hidden="false" customHeight="true" outlineLevel="0" collapsed="false">
      <c r="A122" s="144" t="s">
        <v>909</v>
      </c>
      <c r="B122" s="145" t="s">
        <v>535</v>
      </c>
      <c r="C122" s="146" t="s">
        <v>1741</v>
      </c>
      <c r="D122" s="144" t="s">
        <v>536</v>
      </c>
      <c r="E122" s="144" t="s">
        <v>537</v>
      </c>
      <c r="F122" s="144" t="s">
        <v>361</v>
      </c>
      <c r="G122" s="147" t="n">
        <v>45159</v>
      </c>
      <c r="H122" s="146"/>
      <c r="I122" s="144" t="s">
        <v>309</v>
      </c>
      <c r="J122" s="144" t="s">
        <v>538</v>
      </c>
      <c r="K122" s="146"/>
      <c r="L122" s="146"/>
      <c r="M122" s="148"/>
    </row>
    <row r="123" customFormat="false" ht="21" hidden="false" customHeight="true" outlineLevel="0" collapsed="false">
      <c r="A123" s="139" t="s">
        <v>909</v>
      </c>
      <c r="B123" s="140" t="s">
        <v>540</v>
      </c>
      <c r="C123" s="141" t="s">
        <v>250</v>
      </c>
      <c r="D123" s="139" t="s">
        <v>541</v>
      </c>
      <c r="E123" s="139" t="s">
        <v>1742</v>
      </c>
      <c r="F123" s="139" t="s">
        <v>162</v>
      </c>
      <c r="G123" s="142" t="n">
        <v>45831</v>
      </c>
      <c r="H123" s="141"/>
      <c r="I123" s="139" t="s">
        <v>309</v>
      </c>
      <c r="J123" s="139" t="s">
        <v>538</v>
      </c>
      <c r="K123" s="141"/>
      <c r="L123" s="141"/>
      <c r="M123" s="143"/>
    </row>
    <row r="124" customFormat="false" ht="21" hidden="false" customHeight="true" outlineLevel="0" collapsed="false">
      <c r="A124" s="144" t="s">
        <v>909</v>
      </c>
      <c r="B124" s="145" t="s">
        <v>592</v>
      </c>
      <c r="C124" s="146" t="s">
        <v>600</v>
      </c>
      <c r="D124" s="144" t="s">
        <v>593</v>
      </c>
      <c r="E124" s="144" t="s">
        <v>1743</v>
      </c>
      <c r="F124" s="144" t="s">
        <v>162</v>
      </c>
      <c r="G124" s="147" t="n">
        <v>45433</v>
      </c>
      <c r="H124" s="146"/>
      <c r="I124" s="144" t="s">
        <v>309</v>
      </c>
      <c r="J124" s="144" t="s">
        <v>596</v>
      </c>
      <c r="K124" s="146"/>
      <c r="L124" s="146"/>
      <c r="M124" s="148"/>
    </row>
    <row r="125" customFormat="false" ht="21" hidden="false" customHeight="true" outlineLevel="0" collapsed="false">
      <c r="A125" s="139" t="s">
        <v>909</v>
      </c>
      <c r="B125" s="140" t="s">
        <v>545</v>
      </c>
      <c r="C125" s="141" t="s">
        <v>600</v>
      </c>
      <c r="D125" s="139" t="s">
        <v>546</v>
      </c>
      <c r="E125" s="139" t="s">
        <v>547</v>
      </c>
      <c r="F125" s="139" t="s">
        <v>1681</v>
      </c>
      <c r="G125" s="142" t="n">
        <v>45262</v>
      </c>
      <c r="H125" s="141"/>
      <c r="I125" s="139" t="s">
        <v>309</v>
      </c>
      <c r="J125" s="139" t="s">
        <v>548</v>
      </c>
      <c r="K125" s="141"/>
      <c r="L125" s="141"/>
      <c r="M125" s="143"/>
    </row>
    <row r="126" customFormat="false" ht="21" hidden="false" customHeight="true" outlineLevel="0" collapsed="false">
      <c r="A126" s="144" t="s">
        <v>909</v>
      </c>
      <c r="B126" s="145" t="s">
        <v>550</v>
      </c>
      <c r="C126" s="146" t="s">
        <v>1744</v>
      </c>
      <c r="D126" s="144" t="s">
        <v>551</v>
      </c>
      <c r="E126" s="144" t="s">
        <v>552</v>
      </c>
      <c r="F126" s="144" t="s">
        <v>361</v>
      </c>
      <c r="G126" s="147" t="n">
        <v>45263</v>
      </c>
      <c r="H126" s="146"/>
      <c r="I126" s="144" t="s">
        <v>309</v>
      </c>
      <c r="J126" s="144" t="s">
        <v>1745</v>
      </c>
      <c r="K126" s="146"/>
      <c r="L126" s="146"/>
      <c r="M126" s="148"/>
    </row>
    <row r="127" customFormat="false" ht="21" hidden="false" customHeight="true" outlineLevel="0" collapsed="false">
      <c r="A127" s="139" t="s">
        <v>909</v>
      </c>
      <c r="B127" s="140" t="s">
        <v>555</v>
      </c>
      <c r="C127" s="141" t="s">
        <v>600</v>
      </c>
      <c r="D127" s="139" t="s">
        <v>556</v>
      </c>
      <c r="E127" s="139" t="s">
        <v>557</v>
      </c>
      <c r="F127" s="139" t="s">
        <v>1681</v>
      </c>
      <c r="G127" s="142" t="n">
        <v>45311</v>
      </c>
      <c r="H127" s="141"/>
      <c r="I127" s="139" t="s">
        <v>309</v>
      </c>
      <c r="J127" s="139" t="s">
        <v>559</v>
      </c>
      <c r="K127" s="141"/>
      <c r="L127" s="141"/>
      <c r="M127" s="143"/>
    </row>
    <row r="128" customFormat="false" ht="21" hidden="false" customHeight="true" outlineLevel="0" collapsed="false">
      <c r="A128" s="144" t="s">
        <v>909</v>
      </c>
      <c r="B128" s="145" t="s">
        <v>561</v>
      </c>
      <c r="C128" s="146" t="s">
        <v>506</v>
      </c>
      <c r="D128" s="144" t="s">
        <v>562</v>
      </c>
      <c r="E128" s="144" t="s">
        <v>563</v>
      </c>
      <c r="F128" s="144" t="s">
        <v>162</v>
      </c>
      <c r="G128" s="147" t="n">
        <v>46187</v>
      </c>
      <c r="H128" s="146"/>
      <c r="I128" s="144" t="s">
        <v>309</v>
      </c>
      <c r="J128" s="144" t="s">
        <v>548</v>
      </c>
      <c r="K128" s="146"/>
      <c r="L128" s="146"/>
      <c r="M128" s="148"/>
    </row>
    <row r="129" customFormat="false" ht="21" hidden="false" customHeight="true" outlineLevel="0" collapsed="false">
      <c r="A129" s="139" t="s">
        <v>909</v>
      </c>
      <c r="B129" s="140" t="s">
        <v>565</v>
      </c>
      <c r="C129" s="141" t="s">
        <v>506</v>
      </c>
      <c r="D129" s="139" t="s">
        <v>566</v>
      </c>
      <c r="E129" s="139" t="s">
        <v>567</v>
      </c>
      <c r="F129" s="139" t="s">
        <v>162</v>
      </c>
      <c r="G129" s="142" t="n">
        <v>45550</v>
      </c>
      <c r="H129" s="141"/>
      <c r="I129" s="139" t="s">
        <v>309</v>
      </c>
      <c r="J129" s="139" t="s">
        <v>528</v>
      </c>
      <c r="K129" s="141"/>
      <c r="L129" s="141"/>
      <c r="M129" s="143"/>
    </row>
    <row r="130" customFormat="false" ht="21" hidden="false" customHeight="true" outlineLevel="0" collapsed="false">
      <c r="A130" s="144" t="s">
        <v>909</v>
      </c>
      <c r="B130" s="145" t="s">
        <v>438</v>
      </c>
      <c r="C130" s="146" t="s">
        <v>506</v>
      </c>
      <c r="D130" s="144" t="s">
        <v>439</v>
      </c>
      <c r="E130" s="144" t="s">
        <v>440</v>
      </c>
      <c r="F130" s="144" t="s">
        <v>162</v>
      </c>
      <c r="G130" s="147" t="n">
        <v>45985</v>
      </c>
      <c r="H130" s="146"/>
      <c r="I130" s="144" t="s">
        <v>309</v>
      </c>
      <c r="J130" s="144" t="s">
        <v>310</v>
      </c>
      <c r="K130" s="144" t="s">
        <v>441</v>
      </c>
      <c r="L130" s="146"/>
      <c r="M130" s="148"/>
    </row>
    <row r="131" customFormat="false" ht="21" hidden="false" customHeight="true" outlineLevel="0" collapsed="false">
      <c r="A131" s="139" t="s">
        <v>909</v>
      </c>
      <c r="B131" s="140" t="s">
        <v>570</v>
      </c>
      <c r="C131" s="141" t="s">
        <v>1746</v>
      </c>
      <c r="D131" s="139" t="s">
        <v>571</v>
      </c>
      <c r="E131" s="139" t="s">
        <v>572</v>
      </c>
      <c r="F131" s="139" t="s">
        <v>361</v>
      </c>
      <c r="G131" s="142" t="n">
        <v>45852</v>
      </c>
      <c r="H131" s="141"/>
      <c r="I131" s="139" t="s">
        <v>309</v>
      </c>
      <c r="J131" s="139" t="s">
        <v>1745</v>
      </c>
      <c r="K131" s="141"/>
      <c r="L131" s="141"/>
      <c r="M131" s="143"/>
    </row>
    <row r="132" customFormat="false" ht="21" hidden="false" customHeight="true" outlineLevel="0" collapsed="false">
      <c r="A132" s="144" t="s">
        <v>909</v>
      </c>
      <c r="B132" s="145" t="s">
        <v>443</v>
      </c>
      <c r="C132" s="146" t="s">
        <v>176</v>
      </c>
      <c r="D132" s="144" t="s">
        <v>444</v>
      </c>
      <c r="E132" s="144" t="s">
        <v>445</v>
      </c>
      <c r="F132" s="144" t="s">
        <v>162</v>
      </c>
      <c r="G132" s="147" t="n">
        <v>45885</v>
      </c>
      <c r="H132" s="146"/>
      <c r="I132" s="144" t="s">
        <v>309</v>
      </c>
      <c r="J132" s="144" t="s">
        <v>310</v>
      </c>
      <c r="K132" s="144" t="s">
        <v>446</v>
      </c>
      <c r="L132" s="146"/>
      <c r="M132" s="148"/>
    </row>
    <row r="133" customFormat="false" ht="21" hidden="false" customHeight="true" outlineLevel="0" collapsed="false">
      <c r="A133" s="139" t="s">
        <v>909</v>
      </c>
      <c r="B133" s="140" t="s">
        <v>576</v>
      </c>
      <c r="C133" s="141" t="s">
        <v>506</v>
      </c>
      <c r="D133" s="139" t="s">
        <v>577</v>
      </c>
      <c r="E133" s="139" t="s">
        <v>578</v>
      </c>
      <c r="F133" s="139" t="s">
        <v>162</v>
      </c>
      <c r="G133" s="142" t="n">
        <v>46032</v>
      </c>
      <c r="H133" s="141"/>
      <c r="I133" s="139" t="s">
        <v>309</v>
      </c>
      <c r="J133" s="139" t="s">
        <v>579</v>
      </c>
      <c r="K133" s="141"/>
      <c r="L133" s="141"/>
      <c r="M133" s="143"/>
    </row>
    <row r="134" customFormat="false" ht="21" hidden="false" customHeight="true" outlineLevel="0" collapsed="false">
      <c r="A134" s="144" t="s">
        <v>909</v>
      </c>
      <c r="B134" s="145" t="s">
        <v>448</v>
      </c>
      <c r="C134" s="146" t="s">
        <v>250</v>
      </c>
      <c r="D134" s="144" t="s">
        <v>449</v>
      </c>
      <c r="E134" s="144" t="s">
        <v>450</v>
      </c>
      <c r="F134" s="144" t="s">
        <v>162</v>
      </c>
      <c r="G134" s="147" t="n">
        <v>46282</v>
      </c>
      <c r="H134" s="146"/>
      <c r="I134" s="144" t="s">
        <v>309</v>
      </c>
      <c r="J134" s="144" t="s">
        <v>310</v>
      </c>
      <c r="K134" s="146"/>
      <c r="L134" s="146"/>
      <c r="M134" s="148"/>
    </row>
    <row r="135" customFormat="false" ht="21" hidden="false" customHeight="true" outlineLevel="0" collapsed="false">
      <c r="A135" s="139" t="s">
        <v>909</v>
      </c>
      <c r="B135" s="140" t="s">
        <v>213</v>
      </c>
      <c r="C135" s="141" t="s">
        <v>250</v>
      </c>
      <c r="D135" s="139" t="s">
        <v>214</v>
      </c>
      <c r="E135" s="139" t="s">
        <v>215</v>
      </c>
      <c r="F135" s="139" t="s">
        <v>162</v>
      </c>
      <c r="G135" s="142" t="n">
        <v>45914</v>
      </c>
      <c r="H135" s="141"/>
      <c r="I135" s="141"/>
      <c r="J135" s="139" t="s">
        <v>163</v>
      </c>
      <c r="K135" s="141"/>
      <c r="L135" s="141"/>
      <c r="M135" s="143"/>
    </row>
    <row r="136" customFormat="false" ht="21" hidden="false" customHeight="true" outlineLevel="0" collapsed="false">
      <c r="A136" s="144" t="s">
        <v>909</v>
      </c>
      <c r="B136" s="145" t="s">
        <v>221</v>
      </c>
      <c r="C136" s="146" t="s">
        <v>222</v>
      </c>
      <c r="D136" s="144" t="s">
        <v>223</v>
      </c>
      <c r="E136" s="144" t="s">
        <v>224</v>
      </c>
      <c r="F136" s="144" t="s">
        <v>225</v>
      </c>
      <c r="G136" s="149"/>
      <c r="H136" s="146"/>
      <c r="I136" s="146"/>
      <c r="J136" s="144" t="s">
        <v>226</v>
      </c>
      <c r="K136" s="144" t="s">
        <v>227</v>
      </c>
      <c r="L136" s="146"/>
      <c r="M136" s="148"/>
    </row>
    <row r="137" customFormat="false" ht="21" hidden="false" customHeight="true" outlineLevel="0" collapsed="false">
      <c r="A137" s="139" t="s">
        <v>909</v>
      </c>
      <c r="B137" s="140" t="s">
        <v>645</v>
      </c>
      <c r="C137" s="141" t="s">
        <v>302</v>
      </c>
      <c r="D137" s="139" t="s">
        <v>1695</v>
      </c>
      <c r="E137" s="139" t="s">
        <v>648</v>
      </c>
      <c r="F137" s="139" t="s">
        <v>162</v>
      </c>
      <c r="G137" s="142" t="n">
        <v>46206</v>
      </c>
      <c r="H137" s="141"/>
      <c r="I137" s="141"/>
      <c r="J137" s="139" t="s">
        <v>163</v>
      </c>
      <c r="K137" s="141"/>
      <c r="L137" s="141"/>
      <c r="M137" s="143"/>
    </row>
    <row r="138" customFormat="false" ht="21" hidden="false" customHeight="true" outlineLevel="0" collapsed="false">
      <c r="A138" s="144" t="s">
        <v>909</v>
      </c>
      <c r="B138" s="145" t="s">
        <v>255</v>
      </c>
      <c r="C138" s="146" t="s">
        <v>176</v>
      </c>
      <c r="D138" s="144" t="s">
        <v>256</v>
      </c>
      <c r="E138" s="144" t="s">
        <v>257</v>
      </c>
      <c r="F138" s="144" t="s">
        <v>162</v>
      </c>
      <c r="G138" s="147" t="n">
        <v>46205</v>
      </c>
      <c r="H138" s="146"/>
      <c r="I138" s="146"/>
      <c r="J138" s="144" t="s">
        <v>163</v>
      </c>
      <c r="K138" s="146"/>
      <c r="L138" s="146"/>
      <c r="M138" s="148"/>
    </row>
    <row r="139" customFormat="false" ht="21" hidden="false" customHeight="true" outlineLevel="0" collapsed="false">
      <c r="A139" s="139" t="s">
        <v>909</v>
      </c>
      <c r="B139" s="140" t="s">
        <v>599</v>
      </c>
      <c r="C139" s="141" t="s">
        <v>302</v>
      </c>
      <c r="D139" s="139" t="s">
        <v>1723</v>
      </c>
      <c r="E139" s="139" t="s">
        <v>1724</v>
      </c>
      <c r="F139" s="139" t="s">
        <v>162</v>
      </c>
      <c r="G139" s="142" t="n">
        <v>46123</v>
      </c>
      <c r="H139" s="141"/>
      <c r="I139" s="141"/>
      <c r="J139" s="139" t="s">
        <v>163</v>
      </c>
      <c r="K139" s="141"/>
      <c r="L139" s="141"/>
      <c r="M139" s="143"/>
    </row>
    <row r="140" customFormat="false" ht="21" hidden="true" customHeight="true" outlineLevel="0" collapsed="false">
      <c r="A140" s="144" t="s">
        <v>949</v>
      </c>
      <c r="B140" s="145" t="s">
        <v>950</v>
      </c>
      <c r="C140" s="146" t="s">
        <v>600</v>
      </c>
      <c r="D140" s="144" t="s">
        <v>951</v>
      </c>
      <c r="E140" s="144" t="s">
        <v>952</v>
      </c>
      <c r="F140" s="144" t="s">
        <v>162</v>
      </c>
      <c r="G140" s="147" t="n">
        <v>46082</v>
      </c>
      <c r="H140" s="146"/>
      <c r="I140" s="146"/>
      <c r="J140" s="144" t="s">
        <v>163</v>
      </c>
      <c r="K140" s="146"/>
      <c r="L140" s="146"/>
      <c r="M140" s="148"/>
    </row>
    <row r="141" customFormat="false" ht="21" hidden="true" customHeight="true" outlineLevel="0" collapsed="false">
      <c r="A141" s="139" t="s">
        <v>949</v>
      </c>
      <c r="B141" s="140" t="s">
        <v>862</v>
      </c>
      <c r="C141" s="141" t="s">
        <v>600</v>
      </c>
      <c r="D141" s="139" t="s">
        <v>917</v>
      </c>
      <c r="E141" s="139" t="s">
        <v>953</v>
      </c>
      <c r="F141" s="139" t="s">
        <v>162</v>
      </c>
      <c r="G141" s="142" t="n">
        <v>45732</v>
      </c>
      <c r="H141" s="141"/>
      <c r="I141" s="141"/>
      <c r="J141" s="139" t="s">
        <v>163</v>
      </c>
      <c r="K141" s="141"/>
      <c r="L141" s="141"/>
      <c r="M141" s="143"/>
    </row>
    <row r="142" customFormat="false" ht="21" hidden="true" customHeight="true" outlineLevel="0" collapsed="false">
      <c r="A142" s="144" t="s">
        <v>949</v>
      </c>
      <c r="B142" s="145" t="s">
        <v>954</v>
      </c>
      <c r="C142" s="146" t="s">
        <v>506</v>
      </c>
      <c r="D142" s="144" t="s">
        <v>955</v>
      </c>
      <c r="E142" s="144" t="s">
        <v>956</v>
      </c>
      <c r="F142" s="144" t="s">
        <v>162</v>
      </c>
      <c r="G142" s="147" t="n">
        <v>45732</v>
      </c>
      <c r="H142" s="146"/>
      <c r="I142" s="146"/>
      <c r="J142" s="144" t="s">
        <v>163</v>
      </c>
      <c r="K142" s="146"/>
      <c r="L142" s="146"/>
      <c r="M142" s="148"/>
    </row>
    <row r="143" customFormat="false" ht="21" hidden="true" customHeight="true" outlineLevel="0" collapsed="false">
      <c r="A143" s="139" t="s">
        <v>949</v>
      </c>
      <c r="B143" s="140" t="s">
        <v>957</v>
      </c>
      <c r="C143" s="141" t="s">
        <v>250</v>
      </c>
      <c r="D143" s="139" t="s">
        <v>958</v>
      </c>
      <c r="E143" s="139" t="s">
        <v>959</v>
      </c>
      <c r="F143" s="139" t="s">
        <v>162</v>
      </c>
      <c r="G143" s="142" t="n">
        <v>45732</v>
      </c>
      <c r="H143" s="141"/>
      <c r="I143" s="141"/>
      <c r="J143" s="139" t="s">
        <v>163</v>
      </c>
      <c r="K143" s="141"/>
      <c r="L143" s="141"/>
      <c r="M143" s="143"/>
    </row>
    <row r="144" customFormat="false" ht="21" hidden="true" customHeight="true" outlineLevel="0" collapsed="false">
      <c r="A144" s="144" t="s">
        <v>949</v>
      </c>
      <c r="B144" s="145" t="s">
        <v>960</v>
      </c>
      <c r="C144" s="146" t="s">
        <v>176</v>
      </c>
      <c r="D144" s="144" t="s">
        <v>961</v>
      </c>
      <c r="E144" s="144" t="s">
        <v>962</v>
      </c>
      <c r="F144" s="144" t="s">
        <v>162</v>
      </c>
      <c r="G144" s="147" t="n">
        <v>46082</v>
      </c>
      <c r="H144" s="146"/>
      <c r="I144" s="146"/>
      <c r="J144" s="144" t="s">
        <v>163</v>
      </c>
      <c r="K144" s="146"/>
      <c r="L144" s="146"/>
      <c r="M144" s="148"/>
    </row>
    <row r="145" customFormat="false" ht="21" hidden="true" customHeight="true" outlineLevel="0" collapsed="false">
      <c r="A145" s="139" t="s">
        <v>949</v>
      </c>
      <c r="B145" s="140" t="s">
        <v>963</v>
      </c>
      <c r="C145" s="141" t="s">
        <v>506</v>
      </c>
      <c r="D145" s="139" t="s">
        <v>964</v>
      </c>
      <c r="E145" s="139" t="s">
        <v>965</v>
      </c>
      <c r="F145" s="139" t="s">
        <v>162</v>
      </c>
      <c r="G145" s="142" t="n">
        <v>45732</v>
      </c>
      <c r="H145" s="141"/>
      <c r="I145" s="141"/>
      <c r="J145" s="139" t="s">
        <v>163</v>
      </c>
      <c r="K145" s="141"/>
      <c r="L145" s="141"/>
      <c r="M145" s="143"/>
    </row>
    <row r="146" customFormat="false" ht="21" hidden="true" customHeight="true" outlineLevel="0" collapsed="false">
      <c r="A146" s="144" t="s">
        <v>949</v>
      </c>
      <c r="B146" s="145" t="s">
        <v>966</v>
      </c>
      <c r="C146" s="146" t="s">
        <v>250</v>
      </c>
      <c r="D146" s="144" t="s">
        <v>967</v>
      </c>
      <c r="E146" s="144" t="s">
        <v>968</v>
      </c>
      <c r="F146" s="144" t="s">
        <v>162</v>
      </c>
      <c r="G146" s="147" t="n">
        <v>45732</v>
      </c>
      <c r="H146" s="146"/>
      <c r="I146" s="146"/>
      <c r="J146" s="144" t="s">
        <v>163</v>
      </c>
      <c r="K146" s="146"/>
      <c r="L146" s="146"/>
      <c r="M146" s="148"/>
    </row>
    <row r="147" customFormat="false" ht="21" hidden="true" customHeight="true" outlineLevel="0" collapsed="false">
      <c r="A147" s="139" t="s">
        <v>949</v>
      </c>
      <c r="B147" s="140" t="s">
        <v>969</v>
      </c>
      <c r="C147" s="141" t="s">
        <v>506</v>
      </c>
      <c r="D147" s="139" t="s">
        <v>970</v>
      </c>
      <c r="E147" s="139" t="s">
        <v>971</v>
      </c>
      <c r="F147" s="139" t="s">
        <v>162</v>
      </c>
      <c r="G147" s="142" t="n">
        <v>45732</v>
      </c>
      <c r="H147" s="141"/>
      <c r="I147" s="141"/>
      <c r="J147" s="139" t="s">
        <v>163</v>
      </c>
      <c r="K147" s="141"/>
      <c r="L147" s="141"/>
      <c r="M147" s="143"/>
    </row>
    <row r="148" customFormat="false" ht="21" hidden="true" customHeight="true" outlineLevel="0" collapsed="false">
      <c r="A148" s="144" t="s">
        <v>949</v>
      </c>
      <c r="B148" s="145" t="s">
        <v>972</v>
      </c>
      <c r="C148" s="146" t="s">
        <v>646</v>
      </c>
      <c r="D148" s="144" t="s">
        <v>973</v>
      </c>
      <c r="E148" s="144" t="s">
        <v>974</v>
      </c>
      <c r="F148" s="144" t="s">
        <v>162</v>
      </c>
      <c r="G148" s="147" t="n">
        <v>45732</v>
      </c>
      <c r="H148" s="146"/>
      <c r="I148" s="146"/>
      <c r="J148" s="144" t="s">
        <v>163</v>
      </c>
      <c r="K148" s="146"/>
      <c r="L148" s="146"/>
      <c r="M148" s="148"/>
    </row>
    <row r="149" customFormat="false" ht="21" hidden="true" customHeight="true" outlineLevel="0" collapsed="false">
      <c r="A149" s="139" t="s">
        <v>949</v>
      </c>
      <c r="B149" s="140" t="s">
        <v>975</v>
      </c>
      <c r="C149" s="141" t="s">
        <v>646</v>
      </c>
      <c r="D149" s="139" t="s">
        <v>976</v>
      </c>
      <c r="E149" s="139" t="s">
        <v>977</v>
      </c>
      <c r="F149" s="139" t="s">
        <v>162</v>
      </c>
      <c r="G149" s="142" t="n">
        <v>45734</v>
      </c>
      <c r="H149" s="141"/>
      <c r="I149" s="141"/>
      <c r="J149" s="139" t="s">
        <v>163</v>
      </c>
      <c r="K149" s="141"/>
      <c r="L149" s="141"/>
      <c r="M149" s="143"/>
    </row>
    <row r="150" customFormat="false" ht="21" hidden="true" customHeight="true" outlineLevel="0" collapsed="false">
      <c r="A150" s="144" t="s">
        <v>949</v>
      </c>
      <c r="B150" s="145" t="s">
        <v>978</v>
      </c>
      <c r="C150" s="146" t="s">
        <v>646</v>
      </c>
      <c r="D150" s="144" t="s">
        <v>979</v>
      </c>
      <c r="E150" s="144" t="s">
        <v>980</v>
      </c>
      <c r="F150" s="144" t="s">
        <v>162</v>
      </c>
      <c r="G150" s="147" t="n">
        <v>45734</v>
      </c>
      <c r="H150" s="146"/>
      <c r="I150" s="146"/>
      <c r="J150" s="144" t="s">
        <v>163</v>
      </c>
      <c r="K150" s="146"/>
      <c r="L150" s="146"/>
      <c r="M150" s="148"/>
    </row>
    <row r="151" customFormat="false" ht="21" hidden="true" customHeight="true" outlineLevel="0" collapsed="false">
      <c r="A151" s="139" t="s">
        <v>949</v>
      </c>
      <c r="B151" s="140" t="s">
        <v>1044</v>
      </c>
      <c r="C151" s="141" t="s">
        <v>646</v>
      </c>
      <c r="D151" s="139" t="s">
        <v>1045</v>
      </c>
      <c r="E151" s="139" t="s">
        <v>1046</v>
      </c>
      <c r="F151" s="139" t="s">
        <v>162</v>
      </c>
      <c r="G151" s="142" t="n">
        <v>45429</v>
      </c>
      <c r="H151" s="141"/>
      <c r="I151" s="141"/>
      <c r="J151" s="139" t="s">
        <v>163</v>
      </c>
      <c r="K151" s="141"/>
      <c r="L151" s="141"/>
      <c r="M151" s="143"/>
    </row>
    <row r="152" customFormat="false" ht="21" hidden="true" customHeight="true" outlineLevel="0" collapsed="false">
      <c r="A152" s="144" t="s">
        <v>949</v>
      </c>
      <c r="B152" s="145" t="s">
        <v>1048</v>
      </c>
      <c r="C152" s="146" t="s">
        <v>646</v>
      </c>
      <c r="D152" s="144" t="s">
        <v>1049</v>
      </c>
      <c r="E152" s="144" t="s">
        <v>1050</v>
      </c>
      <c r="F152" s="144" t="s">
        <v>162</v>
      </c>
      <c r="G152" s="147" t="n">
        <v>45429</v>
      </c>
      <c r="H152" s="146"/>
      <c r="I152" s="146"/>
      <c r="J152" s="144" t="s">
        <v>163</v>
      </c>
      <c r="K152" s="146"/>
      <c r="L152" s="146"/>
      <c r="M152" s="148"/>
    </row>
    <row r="153" customFormat="false" ht="21" hidden="true" customHeight="true" outlineLevel="0" collapsed="false">
      <c r="A153" s="139" t="s">
        <v>949</v>
      </c>
      <c r="B153" s="140" t="s">
        <v>1062</v>
      </c>
      <c r="C153" s="141" t="s">
        <v>600</v>
      </c>
      <c r="D153" s="139" t="s">
        <v>1063</v>
      </c>
      <c r="E153" s="139" t="s">
        <v>1064</v>
      </c>
      <c r="F153" s="139" t="s">
        <v>162</v>
      </c>
      <c r="G153" s="142" t="n">
        <v>45732</v>
      </c>
      <c r="H153" s="141"/>
      <c r="I153" s="141"/>
      <c r="J153" s="139" t="s">
        <v>163</v>
      </c>
      <c r="K153" s="141"/>
      <c r="L153" s="141"/>
      <c r="M153" s="143"/>
    </row>
    <row r="154" customFormat="false" ht="21" hidden="true" customHeight="true" outlineLevel="0" collapsed="false">
      <c r="A154" s="144" t="s">
        <v>949</v>
      </c>
      <c r="B154" s="145" t="s">
        <v>1058</v>
      </c>
      <c r="C154" s="146" t="s">
        <v>646</v>
      </c>
      <c r="D154" s="144" t="s">
        <v>1059</v>
      </c>
      <c r="E154" s="144" t="s">
        <v>1060</v>
      </c>
      <c r="F154" s="144" t="s">
        <v>162</v>
      </c>
      <c r="G154" s="147" t="n">
        <v>45734</v>
      </c>
      <c r="H154" s="146"/>
      <c r="I154" s="146"/>
      <c r="J154" s="144" t="s">
        <v>163</v>
      </c>
      <c r="K154" s="146"/>
      <c r="L154" s="146"/>
      <c r="M154" s="148"/>
    </row>
    <row r="155" customFormat="false" ht="21" hidden="true" customHeight="true" outlineLevel="0" collapsed="false">
      <c r="A155" s="139" t="s">
        <v>949</v>
      </c>
      <c r="B155" s="140" t="s">
        <v>1065</v>
      </c>
      <c r="C155" s="141" t="s">
        <v>646</v>
      </c>
      <c r="D155" s="139" t="s">
        <v>1066</v>
      </c>
      <c r="E155" s="139" t="s">
        <v>1067</v>
      </c>
      <c r="F155" s="139" t="s">
        <v>162</v>
      </c>
      <c r="G155" s="142" t="n">
        <v>46082</v>
      </c>
      <c r="H155" s="141"/>
      <c r="I155" s="141"/>
      <c r="J155" s="139" t="s">
        <v>163</v>
      </c>
      <c r="K155" s="141"/>
      <c r="L155" s="141"/>
      <c r="M155" s="143"/>
    </row>
    <row r="156" customFormat="false" ht="21" hidden="true" customHeight="true" outlineLevel="0" collapsed="false">
      <c r="A156" s="144" t="s">
        <v>949</v>
      </c>
      <c r="B156" s="145" t="s">
        <v>1747</v>
      </c>
      <c r="C156" s="146" t="s">
        <v>302</v>
      </c>
      <c r="D156" s="144" t="s">
        <v>982</v>
      </c>
      <c r="E156" s="144" t="s">
        <v>983</v>
      </c>
      <c r="F156" s="144" t="s">
        <v>162</v>
      </c>
      <c r="G156" s="147" t="n">
        <v>46082</v>
      </c>
      <c r="H156" s="146"/>
      <c r="I156" s="146"/>
      <c r="J156" s="144" t="s">
        <v>163</v>
      </c>
      <c r="K156" s="146"/>
      <c r="L156" s="146"/>
      <c r="M156" s="148"/>
    </row>
    <row r="157" customFormat="false" ht="21" hidden="true" customHeight="true" outlineLevel="0" collapsed="false">
      <c r="A157" s="139" t="s">
        <v>949</v>
      </c>
      <c r="B157" s="140" t="s">
        <v>984</v>
      </c>
      <c r="C157" s="141" t="s">
        <v>302</v>
      </c>
      <c r="D157" s="139" t="s">
        <v>985</v>
      </c>
      <c r="E157" s="139" t="s">
        <v>986</v>
      </c>
      <c r="F157" s="139" t="s">
        <v>162</v>
      </c>
      <c r="G157" s="142" t="n">
        <v>45614</v>
      </c>
      <c r="H157" s="141"/>
      <c r="I157" s="141"/>
      <c r="J157" s="139" t="s">
        <v>163</v>
      </c>
      <c r="K157" s="141"/>
      <c r="L157" s="141"/>
      <c r="M157" s="143"/>
    </row>
    <row r="158" customFormat="false" ht="21" hidden="true" customHeight="true" outlineLevel="0" collapsed="false">
      <c r="A158" s="144" t="s">
        <v>949</v>
      </c>
      <c r="B158" s="145" t="s">
        <v>987</v>
      </c>
      <c r="C158" s="146" t="s">
        <v>302</v>
      </c>
      <c r="D158" s="144" t="s">
        <v>988</v>
      </c>
      <c r="E158" s="144" t="s">
        <v>989</v>
      </c>
      <c r="F158" s="144" t="s">
        <v>162</v>
      </c>
      <c r="G158" s="147" t="n">
        <v>46224</v>
      </c>
      <c r="H158" s="146"/>
      <c r="I158" s="146"/>
      <c r="J158" s="144" t="s">
        <v>163</v>
      </c>
      <c r="K158" s="146"/>
      <c r="L158" s="146"/>
      <c r="M158" s="148"/>
    </row>
    <row r="159" customFormat="false" ht="21" hidden="true" customHeight="true" outlineLevel="0" collapsed="false">
      <c r="A159" s="139" t="s">
        <v>949</v>
      </c>
      <c r="B159" s="140" t="s">
        <v>991</v>
      </c>
      <c r="C159" s="141" t="s">
        <v>302</v>
      </c>
      <c r="D159" s="139" t="s">
        <v>992</v>
      </c>
      <c r="E159" s="139" t="s">
        <v>993</v>
      </c>
      <c r="F159" s="139" t="s">
        <v>162</v>
      </c>
      <c r="G159" s="142" t="n">
        <v>46224</v>
      </c>
      <c r="H159" s="141"/>
      <c r="I159" s="141"/>
      <c r="J159" s="139" t="s">
        <v>163</v>
      </c>
      <c r="K159" s="141"/>
      <c r="L159" s="141"/>
      <c r="M159" s="143"/>
    </row>
    <row r="160" customFormat="false" ht="21" hidden="true" customHeight="true" outlineLevel="0" collapsed="false">
      <c r="A160" s="144" t="s">
        <v>949</v>
      </c>
      <c r="B160" s="145" t="s">
        <v>994</v>
      </c>
      <c r="C160" s="146" t="s">
        <v>302</v>
      </c>
      <c r="D160" s="144" t="s">
        <v>995</v>
      </c>
      <c r="E160" s="144" t="s">
        <v>996</v>
      </c>
      <c r="F160" s="144" t="s">
        <v>162</v>
      </c>
      <c r="G160" s="147" t="n">
        <v>46224</v>
      </c>
      <c r="H160" s="146"/>
      <c r="I160" s="146"/>
      <c r="J160" s="144" t="s">
        <v>163</v>
      </c>
      <c r="K160" s="146"/>
      <c r="L160" s="146"/>
      <c r="M160" s="148"/>
    </row>
    <row r="161" customFormat="false" ht="21" hidden="true" customHeight="true" outlineLevel="0" collapsed="false">
      <c r="A161" s="139" t="s">
        <v>949</v>
      </c>
      <c r="B161" s="140" t="s">
        <v>997</v>
      </c>
      <c r="C161" s="141" t="s">
        <v>600</v>
      </c>
      <c r="D161" s="139" t="s">
        <v>998</v>
      </c>
      <c r="E161" s="139" t="s">
        <v>999</v>
      </c>
      <c r="F161" s="139" t="s">
        <v>162</v>
      </c>
      <c r="G161" s="142" t="n">
        <v>45776</v>
      </c>
      <c r="H161" s="141"/>
      <c r="I161" s="141"/>
      <c r="J161" s="139" t="s">
        <v>163</v>
      </c>
      <c r="K161" s="141"/>
      <c r="L161" s="141"/>
      <c r="M161" s="143"/>
    </row>
    <row r="162" customFormat="false" ht="21" hidden="true" customHeight="true" outlineLevel="0" collapsed="false">
      <c r="A162" s="144" t="s">
        <v>949</v>
      </c>
      <c r="B162" s="145" t="s">
        <v>1051</v>
      </c>
      <c r="C162" s="146" t="s">
        <v>1052</v>
      </c>
      <c r="D162" s="144" t="s">
        <v>1053</v>
      </c>
      <c r="E162" s="144" t="s">
        <v>1002</v>
      </c>
      <c r="F162" s="144" t="s">
        <v>225</v>
      </c>
      <c r="G162" s="149"/>
      <c r="H162" s="146"/>
      <c r="I162" s="146"/>
      <c r="J162" s="144" t="s">
        <v>163</v>
      </c>
      <c r="K162" s="146"/>
      <c r="L162" s="146"/>
      <c r="M162" s="148"/>
    </row>
    <row r="163" customFormat="false" ht="21" hidden="true" customHeight="true" outlineLevel="0" collapsed="false">
      <c r="A163" s="139" t="s">
        <v>949</v>
      </c>
      <c r="B163" s="140" t="s">
        <v>1000</v>
      </c>
      <c r="C163" s="141" t="s">
        <v>302</v>
      </c>
      <c r="D163" s="139" t="s">
        <v>1001</v>
      </c>
      <c r="E163" s="139" t="s">
        <v>1002</v>
      </c>
      <c r="F163" s="139" t="s">
        <v>162</v>
      </c>
      <c r="G163" s="142" t="n">
        <v>46196</v>
      </c>
      <c r="H163" s="141"/>
      <c r="I163" s="141"/>
      <c r="J163" s="139" t="s">
        <v>163</v>
      </c>
      <c r="K163" s="141"/>
      <c r="L163" s="141"/>
      <c r="M163" s="143"/>
    </row>
    <row r="164" customFormat="false" ht="21" hidden="true" customHeight="true" outlineLevel="0" collapsed="false">
      <c r="A164" s="144" t="s">
        <v>949</v>
      </c>
      <c r="B164" s="145" t="s">
        <v>1003</v>
      </c>
      <c r="C164" s="146" t="s">
        <v>159</v>
      </c>
      <c r="D164" s="144" t="s">
        <v>1004</v>
      </c>
      <c r="E164" s="144" t="s">
        <v>1005</v>
      </c>
      <c r="F164" s="144" t="s">
        <v>162</v>
      </c>
      <c r="G164" s="147" t="n">
        <v>46082</v>
      </c>
      <c r="H164" s="146"/>
      <c r="I164" s="146"/>
      <c r="J164" s="144" t="s">
        <v>163</v>
      </c>
      <c r="K164" s="146"/>
      <c r="L164" s="146"/>
      <c r="M164" s="148"/>
    </row>
    <row r="165" customFormat="false" ht="21" hidden="true" customHeight="true" outlineLevel="0" collapsed="false">
      <c r="A165" s="139" t="s">
        <v>949</v>
      </c>
      <c r="B165" s="140" t="s">
        <v>1055</v>
      </c>
      <c r="C165" s="141" t="s">
        <v>646</v>
      </c>
      <c r="D165" s="139" t="s">
        <v>1056</v>
      </c>
      <c r="E165" s="139" t="s">
        <v>1057</v>
      </c>
      <c r="F165" s="139" t="s">
        <v>162</v>
      </c>
      <c r="G165" s="142" t="n">
        <v>45429</v>
      </c>
      <c r="H165" s="141"/>
      <c r="I165" s="141"/>
      <c r="J165" s="139" t="s">
        <v>163</v>
      </c>
      <c r="K165" s="141"/>
      <c r="L165" s="141"/>
      <c r="M165" s="143"/>
    </row>
    <row r="166" customFormat="false" ht="21" hidden="true" customHeight="true" outlineLevel="0" collapsed="false">
      <c r="A166" s="144" t="s">
        <v>949</v>
      </c>
      <c r="B166" s="145" t="s">
        <v>1006</v>
      </c>
      <c r="C166" s="146" t="s">
        <v>646</v>
      </c>
      <c r="D166" s="144" t="s">
        <v>1007</v>
      </c>
      <c r="E166" s="144" t="s">
        <v>1008</v>
      </c>
      <c r="F166" s="144" t="s">
        <v>162</v>
      </c>
      <c r="G166" s="147" t="n">
        <v>45601</v>
      </c>
      <c r="H166" s="146"/>
      <c r="I166" s="146"/>
      <c r="J166" s="144" t="s">
        <v>163</v>
      </c>
      <c r="K166" s="146"/>
      <c r="L166" s="146"/>
      <c r="M166" s="148"/>
    </row>
    <row r="167" customFormat="false" ht="21" hidden="true" customHeight="true" outlineLevel="0" collapsed="false">
      <c r="A167" s="139" t="s">
        <v>949</v>
      </c>
      <c r="B167" s="140" t="s">
        <v>1009</v>
      </c>
      <c r="C167" s="141" t="s">
        <v>506</v>
      </c>
      <c r="D167" s="139" t="s">
        <v>1010</v>
      </c>
      <c r="E167" s="139" t="s">
        <v>1011</v>
      </c>
      <c r="F167" s="139" t="s">
        <v>162</v>
      </c>
      <c r="G167" s="142" t="n">
        <v>46082</v>
      </c>
      <c r="H167" s="141"/>
      <c r="I167" s="141"/>
      <c r="J167" s="139" t="s">
        <v>163</v>
      </c>
      <c r="K167" s="141"/>
      <c r="L167" s="141"/>
      <c r="M167" s="143"/>
    </row>
    <row r="168" customFormat="false" ht="21" hidden="true" customHeight="true" outlineLevel="0" collapsed="false">
      <c r="A168" s="144" t="s">
        <v>949</v>
      </c>
      <c r="B168" s="145" t="s">
        <v>1012</v>
      </c>
      <c r="C168" s="146" t="s">
        <v>302</v>
      </c>
      <c r="D168" s="146"/>
      <c r="E168" s="144" t="s">
        <v>1013</v>
      </c>
      <c r="F168" s="144" t="s">
        <v>162</v>
      </c>
      <c r="G168" s="147" t="n">
        <v>46433</v>
      </c>
      <c r="H168" s="146"/>
      <c r="I168" s="146"/>
      <c r="J168" s="144" t="s">
        <v>163</v>
      </c>
      <c r="K168" s="146"/>
      <c r="L168" s="146"/>
      <c r="M168" s="148"/>
    </row>
    <row r="169" customFormat="false" ht="21" hidden="true" customHeight="true" outlineLevel="0" collapsed="false">
      <c r="A169" s="139" t="s">
        <v>949</v>
      </c>
      <c r="B169" s="140" t="s">
        <v>997</v>
      </c>
      <c r="C169" s="141" t="s">
        <v>600</v>
      </c>
      <c r="D169" s="139" t="s">
        <v>998</v>
      </c>
      <c r="E169" s="139" t="s">
        <v>999</v>
      </c>
      <c r="F169" s="139" t="s">
        <v>162</v>
      </c>
      <c r="G169" s="142" t="n">
        <v>45776</v>
      </c>
      <c r="H169" s="141"/>
      <c r="I169" s="141"/>
      <c r="J169" s="139" t="s">
        <v>163</v>
      </c>
      <c r="K169" s="141"/>
      <c r="L169" s="141"/>
      <c r="M169" s="143"/>
    </row>
    <row r="170" customFormat="false" ht="21" hidden="true" customHeight="true" outlineLevel="0" collapsed="false">
      <c r="A170" s="144" t="s">
        <v>949</v>
      </c>
      <c r="B170" s="145" t="s">
        <v>1014</v>
      </c>
      <c r="C170" s="146" t="s">
        <v>302</v>
      </c>
      <c r="D170" s="144" t="s">
        <v>1015</v>
      </c>
      <c r="E170" s="164" t="s">
        <v>1016</v>
      </c>
      <c r="F170" s="144" t="s">
        <v>162</v>
      </c>
      <c r="G170" s="147" t="n">
        <v>46082</v>
      </c>
      <c r="H170" s="146"/>
      <c r="I170" s="146"/>
      <c r="J170" s="144" t="s">
        <v>1017</v>
      </c>
      <c r="K170" s="146"/>
      <c r="L170" s="146"/>
      <c r="M170" s="148"/>
    </row>
    <row r="171" customFormat="false" ht="21" hidden="false" customHeight="true" outlineLevel="0" collapsed="false">
      <c r="A171" s="141"/>
      <c r="B171" s="150"/>
      <c r="C171" s="141"/>
      <c r="D171" s="151"/>
      <c r="E171" s="141"/>
      <c r="F171" s="141"/>
      <c r="G171" s="151"/>
      <c r="H171" s="141"/>
      <c r="I171" s="141"/>
      <c r="J171" s="141"/>
      <c r="K171" s="141"/>
      <c r="L171" s="141"/>
      <c r="M171" s="143"/>
    </row>
    <row r="172" customFormat="false" ht="21" hidden="false" customHeight="true" outlineLevel="0" collapsed="false">
      <c r="A172" s="146"/>
      <c r="B172" s="165"/>
      <c r="C172" s="146"/>
      <c r="D172" s="144" t="s">
        <v>1020</v>
      </c>
      <c r="E172" s="144" t="s">
        <v>1021</v>
      </c>
      <c r="F172" s="146"/>
      <c r="G172" s="149"/>
      <c r="H172" s="146"/>
      <c r="I172" s="146"/>
      <c r="J172" s="146"/>
      <c r="K172" s="146"/>
      <c r="L172" s="146"/>
      <c r="M172" s="148"/>
    </row>
    <row r="173" customFormat="false" ht="21" hidden="false" customHeight="true" outlineLevel="0" collapsed="false">
      <c r="A173" s="141"/>
      <c r="B173" s="150"/>
      <c r="C173" s="141"/>
      <c r="D173" s="139" t="s">
        <v>1023</v>
      </c>
      <c r="E173" s="139" t="s">
        <v>1748</v>
      </c>
      <c r="F173" s="141"/>
      <c r="G173" s="151"/>
      <c r="H173" s="141"/>
      <c r="I173" s="141"/>
      <c r="J173" s="141"/>
      <c r="K173" s="141"/>
      <c r="L173" s="141"/>
      <c r="M173" s="143"/>
    </row>
    <row r="174" customFormat="false" ht="21" hidden="false" customHeight="true" outlineLevel="0" collapsed="false">
      <c r="A174" s="146"/>
      <c r="B174" s="165"/>
      <c r="C174" s="146"/>
      <c r="D174" s="144" t="s">
        <v>1026</v>
      </c>
      <c r="E174" s="144" t="s">
        <v>1749</v>
      </c>
      <c r="F174" s="146"/>
      <c r="G174" s="149"/>
      <c r="H174" s="146"/>
      <c r="I174" s="146"/>
      <c r="J174" s="146"/>
      <c r="K174" s="146"/>
      <c r="L174" s="146"/>
      <c r="M174" s="148"/>
    </row>
    <row r="175" customFormat="false" ht="21" hidden="false" customHeight="true" outlineLevel="0" collapsed="false">
      <c r="A175" s="141"/>
      <c r="B175" s="150"/>
      <c r="C175" s="141"/>
      <c r="D175" s="139" t="s">
        <v>1029</v>
      </c>
      <c r="E175" s="139" t="s">
        <v>1750</v>
      </c>
      <c r="F175" s="141"/>
      <c r="G175" s="151"/>
      <c r="H175" s="141"/>
      <c r="I175" s="141"/>
      <c r="J175" s="141"/>
      <c r="K175" s="141"/>
      <c r="L175" s="141"/>
      <c r="M175" s="143"/>
    </row>
    <row r="176" customFormat="false" ht="21" hidden="false" customHeight="true" outlineLevel="0" collapsed="false">
      <c r="A176" s="146"/>
      <c r="B176" s="165"/>
      <c r="C176" s="146"/>
      <c r="D176" s="144" t="s">
        <v>1032</v>
      </c>
      <c r="E176" s="144" t="s">
        <v>1751</v>
      </c>
      <c r="F176" s="146"/>
      <c r="G176" s="149"/>
      <c r="H176" s="146"/>
      <c r="I176" s="146"/>
      <c r="J176" s="146"/>
      <c r="K176" s="146"/>
      <c r="L176" s="146"/>
      <c r="M176" s="148"/>
    </row>
    <row r="177" customFormat="false" ht="21" hidden="false" customHeight="true" outlineLevel="0" collapsed="false">
      <c r="A177" s="141"/>
      <c r="B177" s="150"/>
      <c r="C177" s="141"/>
      <c r="D177" s="139" t="s">
        <v>1035</v>
      </c>
      <c r="E177" s="139" t="s">
        <v>1752</v>
      </c>
      <c r="F177" s="141"/>
      <c r="G177" s="151"/>
      <c r="H177" s="141"/>
      <c r="I177" s="141"/>
      <c r="J177" s="141"/>
      <c r="K177" s="141"/>
      <c r="L177" s="141"/>
      <c r="M177" s="143"/>
    </row>
    <row r="178" customFormat="false" ht="21" hidden="false" customHeight="true" outlineLevel="0" collapsed="false">
      <c r="A178" s="146"/>
      <c r="B178" s="165"/>
      <c r="C178" s="146"/>
      <c r="D178" s="144" t="s">
        <v>1035</v>
      </c>
      <c r="E178" s="144" t="s">
        <v>1752</v>
      </c>
      <c r="F178" s="146"/>
      <c r="G178" s="149"/>
      <c r="H178" s="146"/>
      <c r="I178" s="146"/>
      <c r="J178" s="146"/>
      <c r="K178" s="146"/>
      <c r="L178" s="146"/>
      <c r="M178" s="148"/>
    </row>
    <row r="179" customFormat="false" ht="21" hidden="false" customHeight="true" outlineLevel="0" collapsed="false">
      <c r="A179" s="141"/>
      <c r="B179" s="150"/>
      <c r="C179" s="141"/>
      <c r="D179" s="139" t="s">
        <v>1753</v>
      </c>
      <c r="E179" s="139" t="s">
        <v>1754</v>
      </c>
      <c r="F179" s="141"/>
      <c r="G179" s="151"/>
      <c r="H179" s="141"/>
      <c r="I179" s="141"/>
      <c r="J179" s="141"/>
      <c r="K179" s="141"/>
      <c r="L179" s="141"/>
      <c r="M179" s="143"/>
    </row>
    <row r="180" customFormat="false" ht="21" hidden="false" customHeight="true" outlineLevel="0" collapsed="false">
      <c r="A180" s="146"/>
      <c r="B180" s="165"/>
      <c r="C180" s="146"/>
      <c r="D180" s="144" t="s">
        <v>1041</v>
      </c>
      <c r="E180" s="144" t="s">
        <v>1042</v>
      </c>
      <c r="F180" s="146"/>
      <c r="G180" s="149"/>
      <c r="H180" s="146"/>
      <c r="I180" s="146"/>
      <c r="J180" s="146"/>
      <c r="K180" s="146"/>
      <c r="L180" s="146"/>
      <c r="M180" s="148"/>
    </row>
  </sheetData>
  <autoFilter ref="A2:L180"/>
  <mergeCells count="2">
    <mergeCell ref="A1:C1"/>
    <mergeCell ref="F1:M1"/>
  </mergeCells>
  <hyperlinks>
    <hyperlink ref="D1" location="'INÍCIO'!A1" display="⌂  Início"/>
    <hyperlink ref="E1" location="'DASHBOARD EXECUTIVO'!A1" display="▦  Dashboar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6D1"/>
    <pageSetUpPr fitToPage="true"/>
  </sheetPr>
  <dimension ref="A1:K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200" t="s">
        <v>1755</v>
      </c>
    </row>
    <row r="3" customFormat="false" ht="15" hidden="false" customHeight="false" outlineLevel="0" collapsed="false">
      <c r="A3" s="0" t="s">
        <v>1756</v>
      </c>
      <c r="B3" s="201" t="n">
        <f aca="true">TODAY()</f>
        <v>46301</v>
      </c>
      <c r="C3" s="202" t="s">
        <v>1757</v>
      </c>
    </row>
    <row r="5" customFormat="false" ht="15" hidden="false" customHeight="false" outlineLevel="0" collapsed="false">
      <c r="A5" s="203" t="s">
        <v>1758</v>
      </c>
      <c r="B5" s="203" t="s">
        <v>1759</v>
      </c>
      <c r="C5" s="203" t="s">
        <v>1760</v>
      </c>
      <c r="D5" s="203" t="s">
        <v>1761</v>
      </c>
      <c r="E5" s="203" t="s">
        <v>1762</v>
      </c>
    </row>
    <row r="6" customFormat="false" ht="15" hidden="false" customHeight="false" outlineLevel="0" collapsed="false">
      <c r="A6" s="0" t="s">
        <v>77</v>
      </c>
      <c r="B6" s="0" t="s">
        <v>77</v>
      </c>
      <c r="C6" s="0" t="s">
        <v>78</v>
      </c>
      <c r="D6" s="0" t="s">
        <v>78</v>
      </c>
      <c r="E6" s="0" t="s">
        <v>78</v>
      </c>
    </row>
    <row r="7" customFormat="false" ht="15" hidden="false" customHeight="false" outlineLevel="0" collapsed="false">
      <c r="A7" s="0" t="s">
        <v>36</v>
      </c>
      <c r="B7" s="0" t="s">
        <v>883</v>
      </c>
      <c r="C7" s="0" t="s">
        <v>1763</v>
      </c>
      <c r="D7" s="0" t="s">
        <v>162</v>
      </c>
      <c r="E7" s="0" t="s">
        <v>1764</v>
      </c>
    </row>
    <row r="8" customFormat="false" ht="15" hidden="false" customHeight="false" outlineLevel="0" collapsed="false">
      <c r="A8" s="0" t="s">
        <v>107</v>
      </c>
      <c r="B8" s="0" t="s">
        <v>879</v>
      </c>
      <c r="C8" s="0" t="s">
        <v>1765</v>
      </c>
      <c r="D8" s="0" t="s">
        <v>1766</v>
      </c>
      <c r="E8" s="0" t="s">
        <v>603</v>
      </c>
    </row>
    <row r="9" customFormat="false" ht="15" hidden="false" customHeight="false" outlineLevel="0" collapsed="false">
      <c r="A9" s="0" t="s">
        <v>109</v>
      </c>
      <c r="B9" s="0" t="s">
        <v>881</v>
      </c>
      <c r="C9" s="0" t="s">
        <v>1767</v>
      </c>
      <c r="D9" s="0" t="s">
        <v>588</v>
      </c>
      <c r="E9" s="0" t="s">
        <v>1768</v>
      </c>
    </row>
    <row r="10" customFormat="false" ht="15" hidden="false" customHeight="false" outlineLevel="0" collapsed="false">
      <c r="A10" s="0" t="s">
        <v>38</v>
      </c>
      <c r="B10" s="0" t="s">
        <v>885</v>
      </c>
      <c r="C10" s="0" t="s">
        <v>1769</v>
      </c>
      <c r="D10" s="0" t="s">
        <v>225</v>
      </c>
      <c r="E10" s="0" t="s">
        <v>427</v>
      </c>
    </row>
    <row r="11" customFormat="false" ht="15" hidden="false" customHeight="false" outlineLevel="0" collapsed="false">
      <c r="A11" s="0" t="s">
        <v>108</v>
      </c>
      <c r="B11" s="0" t="s">
        <v>102</v>
      </c>
      <c r="C11" s="0" t="s">
        <v>1770</v>
      </c>
      <c r="D11" s="0" t="s">
        <v>1771</v>
      </c>
      <c r="E11" s="0" t="s">
        <v>451</v>
      </c>
    </row>
    <row r="12" customFormat="false" ht="15" hidden="false" customHeight="false" outlineLevel="0" collapsed="false">
      <c r="B12" s="0" t="s">
        <v>103</v>
      </c>
      <c r="C12" s="0" t="s">
        <v>103</v>
      </c>
      <c r="D12" s="0" t="s">
        <v>253</v>
      </c>
      <c r="E12" s="0" t="s">
        <v>1772</v>
      </c>
    </row>
    <row r="13" customFormat="false" ht="15" hidden="false" customHeight="false" outlineLevel="0" collapsed="false">
      <c r="D13" s="0" t="s">
        <v>361</v>
      </c>
      <c r="E13" s="0" t="s">
        <v>1773</v>
      </c>
    </row>
    <row r="14" customFormat="false" ht="15" hidden="false" customHeight="false" outlineLevel="0" collapsed="false">
      <c r="E14" s="0" t="s">
        <v>391</v>
      </c>
    </row>
    <row r="15" customFormat="false" ht="15" hidden="false" customHeight="false" outlineLevel="0" collapsed="false">
      <c r="E15" s="0" t="s">
        <v>543</v>
      </c>
    </row>
    <row r="16" customFormat="false" ht="15" hidden="false" customHeight="false" outlineLevel="0" collapsed="false">
      <c r="E16" s="0" t="s">
        <v>1774</v>
      </c>
    </row>
    <row r="17" customFormat="false" ht="15" hidden="false" customHeight="false" outlineLevel="0" collapsed="false">
      <c r="E17" s="0" t="s">
        <v>1775</v>
      </c>
    </row>
    <row r="18" customFormat="false" ht="15" hidden="false" customHeight="false" outlineLevel="0" collapsed="false">
      <c r="A18" s="204" t="s">
        <v>1776</v>
      </c>
      <c r="E18" s="205" t="s">
        <v>1777</v>
      </c>
    </row>
    <row r="19" customFormat="false" ht="15" hidden="false" customHeight="false" outlineLevel="0" collapsed="false">
      <c r="A19" s="203" t="s">
        <v>1778</v>
      </c>
      <c r="B19" s="203" t="s">
        <v>1779</v>
      </c>
      <c r="C19" s="203" t="s">
        <v>1780</v>
      </c>
      <c r="D19" s="203" t="s">
        <v>1781</v>
      </c>
      <c r="E19" s="203" t="s">
        <v>1782</v>
      </c>
      <c r="F19" s="203" t="s">
        <v>1783</v>
      </c>
    </row>
    <row r="20" customFormat="false" ht="15" hidden="false" customHeight="false" outlineLevel="0" collapsed="false">
      <c r="A20" s="206" t="n">
        <f aca="false">DATE(YEAR(DataRef),MONTH(DataRef)+0,1)</f>
        <v>46296</v>
      </c>
      <c r="B20" s="0" t="str">
        <f aca="false">CHOOSE(MONTH(A20),"jan","fev","mar","abr","mai","jun","jul","ago","set","out","nov","dez")&amp;"/"&amp;RIGHT(YEAR(A20),2)</f>
        <v>out/26</v>
      </c>
      <c r="C20" s="207" t="n">
        <f aca="false">COUNTIFS('BASE CONSOLIDADA'!$W$5:$W$129,1,'BASE CONSOLIDADA'!$T$5:$T$129,A20,'BASE CONSOLIDADA'!$N$5:$N$129,"Aprovado",'BASE CONSOLIDADA'!$O$5:$O$129,"&gt;="&amp;DataRef)</f>
        <v>0</v>
      </c>
      <c r="D20" s="208" t="n">
        <f aca="false">C20-E20</f>
        <v>0</v>
      </c>
      <c r="E20" s="208" t="n">
        <f aca="false">IF(AND(C20&gt;0,C20&gt;=$F$20),C20,0)</f>
        <v>0</v>
      </c>
      <c r="F20" s="205" t="n">
        <f aca="false">MAX(3,ROUNDUP(2*AVERAGE(C20:C31),0))</f>
        <v>3</v>
      </c>
      <c r="G20" s="202" t="s">
        <v>1784</v>
      </c>
    </row>
    <row r="21" customFormat="false" ht="15" hidden="false" customHeight="false" outlineLevel="0" collapsed="false">
      <c r="A21" s="206" t="n">
        <f aca="false">DATE(YEAR(DataRef),MONTH(DataRef)+1,1)</f>
        <v>46327</v>
      </c>
      <c r="B21" s="0" t="str">
        <f aca="false">CHOOSE(MONTH(A21),"jan","fev","mar","abr","mai","jun","jul","ago","set","out","nov","dez")&amp;"/"&amp;RIGHT(YEAR(A21),2)</f>
        <v>nov/26</v>
      </c>
      <c r="C21" s="207" t="n">
        <f aca="false">COUNTIFS('BASE CONSOLIDADA'!$W$5:$W$129,1,'BASE CONSOLIDADA'!$T$5:$T$129,A21,'BASE CONSOLIDADA'!$N$5:$N$129,"Aprovado",'BASE CONSOLIDADA'!$O$5:$O$129,"&gt;="&amp;DataRef)</f>
        <v>0</v>
      </c>
      <c r="D21" s="208" t="n">
        <f aca="false">C21-E21</f>
        <v>0</v>
      </c>
      <c r="E21" s="208" t="n">
        <f aca="false">IF(AND(C21&gt;0,C21&gt;=$F$20),C21,0)</f>
        <v>0</v>
      </c>
    </row>
    <row r="22" customFormat="false" ht="15" hidden="false" customHeight="false" outlineLevel="0" collapsed="false">
      <c r="A22" s="206" t="n">
        <f aca="false">DATE(YEAR(DataRef),MONTH(DataRef)+2,1)</f>
        <v>46357</v>
      </c>
      <c r="B22" s="0" t="str">
        <f aca="false">CHOOSE(MONTH(A22),"jan","fev","mar","abr","mai","jun","jul","ago","set","out","nov","dez")&amp;"/"&amp;RIGHT(YEAR(A22),2)</f>
        <v>dez/26</v>
      </c>
      <c r="C22" s="207" t="n">
        <f aca="false">COUNTIFS('BASE CONSOLIDADA'!$W$5:$W$129,1,'BASE CONSOLIDADA'!$T$5:$T$129,A22,'BASE CONSOLIDADA'!$N$5:$N$129,"Aprovado",'BASE CONSOLIDADA'!$O$5:$O$129,"&gt;="&amp;DataRef)</f>
        <v>0</v>
      </c>
      <c r="D22" s="208" t="n">
        <f aca="false">C22-E22</f>
        <v>0</v>
      </c>
      <c r="E22" s="208" t="n">
        <f aca="false">IF(AND(C22&gt;0,C22&gt;=$F$20),C22,0)</f>
        <v>0</v>
      </c>
    </row>
    <row r="23" customFormat="false" ht="15" hidden="false" customHeight="false" outlineLevel="0" collapsed="false">
      <c r="A23" s="206" t="n">
        <f aca="false">DATE(YEAR(DataRef),MONTH(DataRef)+3,1)</f>
        <v>46388</v>
      </c>
      <c r="B23" s="0" t="str">
        <f aca="false">CHOOSE(MONTH(A23),"jan","fev","mar","abr","mai","jun","jul","ago","set","out","nov","dez")&amp;"/"&amp;RIGHT(YEAR(A23),2)</f>
        <v>jan/27</v>
      </c>
      <c r="C23" s="207" t="n">
        <f aca="false">COUNTIFS('BASE CONSOLIDADA'!$W$5:$W$129,1,'BASE CONSOLIDADA'!$T$5:$T$129,A23,'BASE CONSOLIDADA'!$N$5:$N$129,"Aprovado",'BASE CONSOLIDADA'!$O$5:$O$129,"&gt;="&amp;DataRef)</f>
        <v>0</v>
      </c>
      <c r="D23" s="208" t="n">
        <f aca="false">C23-E23</f>
        <v>0</v>
      </c>
      <c r="E23" s="208" t="n">
        <f aca="false">IF(AND(C23&gt;0,C23&gt;=$F$20),C23,0)</f>
        <v>0</v>
      </c>
    </row>
    <row r="24" customFormat="false" ht="15" hidden="false" customHeight="false" outlineLevel="0" collapsed="false">
      <c r="A24" s="206" t="n">
        <f aca="false">DATE(YEAR(DataRef),MONTH(DataRef)+4,1)</f>
        <v>46419</v>
      </c>
      <c r="B24" s="0" t="str">
        <f aca="false">CHOOSE(MONTH(A24),"jan","fev","mar","abr","mai","jun","jul","ago","set","out","nov","dez")&amp;"/"&amp;RIGHT(YEAR(A24),2)</f>
        <v>fev/27</v>
      </c>
      <c r="C24" s="207" t="n">
        <f aca="false">COUNTIFS('BASE CONSOLIDADA'!$W$5:$W$129,1,'BASE CONSOLIDADA'!$T$5:$T$129,A24,'BASE CONSOLIDADA'!$N$5:$N$129,"Aprovado",'BASE CONSOLIDADA'!$O$5:$O$129,"&gt;="&amp;DataRef)</f>
        <v>0</v>
      </c>
      <c r="D24" s="208" t="n">
        <f aca="false">C24-E24</f>
        <v>0</v>
      </c>
      <c r="E24" s="208" t="n">
        <f aca="false">IF(AND(C24&gt;0,C24&gt;=$F$20),C24,0)</f>
        <v>0</v>
      </c>
    </row>
    <row r="25" customFormat="false" ht="15" hidden="false" customHeight="false" outlineLevel="0" collapsed="false">
      <c r="A25" s="206" t="n">
        <f aca="false">DATE(YEAR(DataRef),MONTH(DataRef)+5,1)</f>
        <v>46447</v>
      </c>
      <c r="B25" s="0" t="str">
        <f aca="false">CHOOSE(MONTH(A25),"jan","fev","mar","abr","mai","jun","jul","ago","set","out","nov","dez")&amp;"/"&amp;RIGHT(YEAR(A25),2)</f>
        <v>mar/27</v>
      </c>
      <c r="C25" s="207" t="n">
        <f aca="false">COUNTIFS('BASE CONSOLIDADA'!$W$5:$W$129,1,'BASE CONSOLIDADA'!$T$5:$T$129,A25,'BASE CONSOLIDADA'!$N$5:$N$129,"Aprovado",'BASE CONSOLIDADA'!$O$5:$O$129,"&gt;="&amp;DataRef)</f>
        <v>3</v>
      </c>
      <c r="D25" s="208" t="n">
        <f aca="false">C25-E25</f>
        <v>0</v>
      </c>
      <c r="E25" s="208" t="n">
        <f aca="false">IF(AND(C25&gt;0,C25&gt;=$F$20),C25,0)</f>
        <v>3</v>
      </c>
    </row>
    <row r="26" customFormat="false" ht="15" hidden="false" customHeight="false" outlineLevel="0" collapsed="false">
      <c r="A26" s="206" t="n">
        <f aca="false">DATE(YEAR(DataRef),MONTH(DataRef)+6,1)</f>
        <v>46478</v>
      </c>
      <c r="B26" s="0" t="str">
        <f aca="false">CHOOSE(MONTH(A26),"jan","fev","mar","abr","mai","jun","jul","ago","set","out","nov","dez")&amp;"/"&amp;RIGHT(YEAR(A26),2)</f>
        <v>abr/27</v>
      </c>
      <c r="C26" s="207" t="n">
        <f aca="false">COUNTIFS('BASE CONSOLIDADA'!$W$5:$W$129,1,'BASE CONSOLIDADA'!$T$5:$T$129,A26,'BASE CONSOLIDADA'!$N$5:$N$129,"Aprovado",'BASE CONSOLIDADA'!$O$5:$O$129,"&gt;="&amp;DataRef)</f>
        <v>6</v>
      </c>
      <c r="D26" s="208" t="n">
        <f aca="false">C26-E26</f>
        <v>0</v>
      </c>
      <c r="E26" s="208" t="n">
        <f aca="false">IF(AND(C26&gt;0,C26&gt;=$F$20),C26,0)</f>
        <v>6</v>
      </c>
    </row>
    <row r="27" customFormat="false" ht="15" hidden="false" customHeight="false" outlineLevel="0" collapsed="false">
      <c r="A27" s="206" t="n">
        <f aca="false">DATE(YEAR(DataRef),MONTH(DataRef)+7,1)</f>
        <v>46508</v>
      </c>
      <c r="B27" s="0" t="str">
        <f aca="false">CHOOSE(MONTH(A27),"jan","fev","mar","abr","mai","jun","jul","ago","set","out","nov","dez")&amp;"/"&amp;RIGHT(YEAR(A27),2)</f>
        <v>mai/27</v>
      </c>
      <c r="C27" s="207" t="n">
        <f aca="false">COUNTIFS('BASE CONSOLIDADA'!$W$5:$W$129,1,'BASE CONSOLIDADA'!$T$5:$T$129,A27,'BASE CONSOLIDADA'!$N$5:$N$129,"Aprovado",'BASE CONSOLIDADA'!$O$5:$O$129,"&gt;="&amp;DataRef)</f>
        <v>1</v>
      </c>
      <c r="D27" s="208" t="n">
        <f aca="false">C27-E27</f>
        <v>1</v>
      </c>
      <c r="E27" s="208" t="n">
        <f aca="false">IF(AND(C27&gt;0,C27&gt;=$F$20),C27,0)</f>
        <v>0</v>
      </c>
    </row>
    <row r="28" customFormat="false" ht="15" hidden="false" customHeight="false" outlineLevel="0" collapsed="false">
      <c r="A28" s="206" t="n">
        <f aca="false">DATE(YEAR(DataRef),MONTH(DataRef)+8,1)</f>
        <v>46539</v>
      </c>
      <c r="B28" s="0" t="str">
        <f aca="false">CHOOSE(MONTH(A28),"jan","fev","mar","abr","mai","jun","jul","ago","set","out","nov","dez")&amp;"/"&amp;RIGHT(YEAR(A28),2)</f>
        <v>jun/27</v>
      </c>
      <c r="C28" s="207" t="n">
        <f aca="false">COUNTIFS('BASE CONSOLIDADA'!$W$5:$W$129,1,'BASE CONSOLIDADA'!$T$5:$T$129,A28,'BASE CONSOLIDADA'!$N$5:$N$129,"Aprovado",'BASE CONSOLIDADA'!$O$5:$O$129,"&gt;="&amp;DataRef)</f>
        <v>0</v>
      </c>
      <c r="D28" s="208" t="n">
        <f aca="false">C28-E28</f>
        <v>0</v>
      </c>
      <c r="E28" s="208" t="n">
        <f aca="false">IF(AND(C28&gt;0,C28&gt;=$F$20),C28,0)</f>
        <v>0</v>
      </c>
    </row>
    <row r="29" customFormat="false" ht="15" hidden="false" customHeight="false" outlineLevel="0" collapsed="false">
      <c r="A29" s="206" t="n">
        <f aca="false">DATE(YEAR(DataRef),MONTH(DataRef)+9,1)</f>
        <v>46569</v>
      </c>
      <c r="B29" s="0" t="str">
        <f aca="false">CHOOSE(MONTH(A29),"jan","fev","mar","abr","mai","jun","jul","ago","set","out","nov","dez")&amp;"/"&amp;RIGHT(YEAR(A29),2)</f>
        <v>jul/27</v>
      </c>
      <c r="C29" s="207" t="n">
        <f aca="false">COUNTIFS('BASE CONSOLIDADA'!$W$5:$W$129,1,'BASE CONSOLIDADA'!$T$5:$T$129,A29,'BASE CONSOLIDADA'!$N$5:$N$129,"Aprovado",'BASE CONSOLIDADA'!$O$5:$O$129,"&gt;="&amp;DataRef)</f>
        <v>1</v>
      </c>
      <c r="D29" s="208" t="n">
        <f aca="false">C29-E29</f>
        <v>1</v>
      </c>
      <c r="E29" s="208" t="n">
        <f aca="false">IF(AND(C29&gt;0,C29&gt;=$F$20),C29,0)</f>
        <v>0</v>
      </c>
    </row>
    <row r="30" customFormat="false" ht="15" hidden="false" customHeight="false" outlineLevel="0" collapsed="false">
      <c r="A30" s="206" t="n">
        <f aca="false">DATE(YEAR(DataRef),MONTH(DataRef)+10,1)</f>
        <v>46600</v>
      </c>
      <c r="B30" s="0" t="str">
        <f aca="false">CHOOSE(MONTH(A30),"jan","fev","mar","abr","mai","jun","jul","ago","set","out","nov","dez")&amp;"/"&amp;RIGHT(YEAR(A30),2)</f>
        <v>ago/27</v>
      </c>
      <c r="C30" s="207" t="n">
        <f aca="false">COUNTIFS('BASE CONSOLIDADA'!$W$5:$W$129,1,'BASE CONSOLIDADA'!$T$5:$T$129,A30,'BASE CONSOLIDADA'!$N$5:$N$129,"Aprovado",'BASE CONSOLIDADA'!$O$5:$O$129,"&gt;="&amp;DataRef)</f>
        <v>0</v>
      </c>
      <c r="D30" s="208" t="n">
        <f aca="false">C30-E30</f>
        <v>0</v>
      </c>
      <c r="E30" s="208" t="n">
        <f aca="false">IF(AND(C30&gt;0,C30&gt;=$F$20),C30,0)</f>
        <v>0</v>
      </c>
    </row>
    <row r="31" customFormat="false" ht="15" hidden="false" customHeight="false" outlineLevel="0" collapsed="false">
      <c r="A31" s="206" t="n">
        <f aca="false">DATE(YEAR(DataRef),MONTH(DataRef)+11,1)</f>
        <v>46631</v>
      </c>
      <c r="B31" s="0" t="str">
        <f aca="false">CHOOSE(MONTH(A31),"jan","fev","mar","abr","mai","jun","jul","ago","set","out","nov","dez")&amp;"/"&amp;RIGHT(YEAR(A31),2)</f>
        <v>set/27</v>
      </c>
      <c r="C31" s="207" t="n">
        <f aca="false">COUNTIFS('BASE CONSOLIDADA'!$W$5:$W$129,1,'BASE CONSOLIDADA'!$T$5:$T$129,A31,'BASE CONSOLIDADA'!$N$5:$N$129,"Aprovado",'BASE CONSOLIDADA'!$O$5:$O$129,"&gt;="&amp;DataRef)</f>
        <v>1</v>
      </c>
      <c r="D31" s="208" t="n">
        <f aca="false">C31-E31</f>
        <v>1</v>
      </c>
      <c r="E31" s="208" t="n">
        <f aca="false">IF(AND(C31&gt;0,C31&gt;=$F$20),C31,0)</f>
        <v>0</v>
      </c>
    </row>
    <row r="34" customFormat="false" ht="15" hidden="false" customHeight="false" outlineLevel="0" collapsed="false">
      <c r="A34" s="204" t="s">
        <v>1785</v>
      </c>
    </row>
    <row r="35" customFormat="false" ht="15" hidden="false" customHeight="false" outlineLevel="0" collapsed="false">
      <c r="A35" s="0" t="s">
        <v>36</v>
      </c>
      <c r="B35" s="0" t="n">
        <f aca="false">COUNTIFS('BASE CONSOLIDADA'!$W$5:$W$129,1,'BASE CONSOLIDADA'!$G$5:$G$129,A35)</f>
        <v>58</v>
      </c>
    </row>
    <row r="36" customFormat="false" ht="15" hidden="false" customHeight="false" outlineLevel="0" collapsed="false">
      <c r="A36" s="0" t="s">
        <v>38</v>
      </c>
      <c r="B36" s="0" t="n">
        <f aca="false">COUNTIFS('BASE CONSOLIDADA'!$W$5:$W$129,1,'BASE CONSOLIDADA'!$G$5:$G$129,A36)</f>
        <v>23</v>
      </c>
    </row>
    <row r="37" customFormat="false" ht="15" hidden="false" customHeight="false" outlineLevel="0" collapsed="false">
      <c r="A37" s="0" t="s">
        <v>107</v>
      </c>
      <c r="B37" s="0" t="n">
        <f aca="false">COUNTIFS('BASE CONSOLIDADA'!$W$5:$W$129,1,'BASE CONSOLIDADA'!$G$5:$G$129,A37)</f>
        <v>11</v>
      </c>
    </row>
    <row r="38" customFormat="false" ht="15" hidden="false" customHeight="false" outlineLevel="0" collapsed="false">
      <c r="A38" s="0" t="s">
        <v>108</v>
      </c>
      <c r="B38" s="0" t="n">
        <f aca="false">COUNTIFS('BASE CONSOLIDADA'!$W$5:$W$129,1,'BASE CONSOLIDADA'!$G$5:$G$129,A38)</f>
        <v>11</v>
      </c>
    </row>
    <row r="39" customFormat="false" ht="15" hidden="false" customHeight="false" outlineLevel="0" collapsed="false">
      <c r="A39" s="0" t="s">
        <v>109</v>
      </c>
      <c r="B39" s="0" t="n">
        <f aca="false">COUNTIFS('BASE CONSOLIDADA'!$W$5:$W$129,1,'BASE CONSOLIDADA'!$G$5:$G$129,A39)</f>
        <v>10</v>
      </c>
    </row>
    <row r="40" customFormat="false" ht="15" hidden="false" customHeight="false" outlineLevel="0" collapsed="false">
      <c r="A40" s="0" t="s">
        <v>110</v>
      </c>
      <c r="B40" s="0" t="n">
        <f aca="false">COUNTIFS('BASE CONSOLIDADA'!$W$5:$W$129,1,'BASE CONSOLIDADA'!$G$5:$G$129,A40)</f>
        <v>9</v>
      </c>
    </row>
    <row r="41" customFormat="false" ht="15" hidden="false" customHeight="false" outlineLevel="0" collapsed="false">
      <c r="A41" s="0" t="s">
        <v>111</v>
      </c>
      <c r="B41" s="0" t="n">
        <f aca="false">COUNTIFS('BASE CONSOLIDADA'!$W$5:$W$129,1,'BASE CONSOLIDADA'!$G$5:$G$129,A41)</f>
        <v>3</v>
      </c>
    </row>
    <row r="42" customFormat="false" ht="15" hidden="false" customHeight="false" outlineLevel="0" collapsed="false">
      <c r="A42" s="0" t="s">
        <v>104</v>
      </c>
      <c r="B42" s="0" t="n">
        <f aca="false">SUM(B35:B41)</f>
        <v>125</v>
      </c>
    </row>
    <row r="48" customFormat="false" ht="15" hidden="false" customHeight="false" outlineLevel="0" collapsed="false">
      <c r="A48" s="204" t="s">
        <v>1786</v>
      </c>
    </row>
    <row r="49" customFormat="false" ht="15" hidden="false" customHeight="false" outlineLevel="0" collapsed="false">
      <c r="A49" s="203" t="s">
        <v>90</v>
      </c>
      <c r="B49" s="203" t="s">
        <v>104</v>
      </c>
      <c r="C49" s="203" t="s">
        <v>879</v>
      </c>
      <c r="D49" s="203" t="s">
        <v>1787</v>
      </c>
      <c r="E49" s="203" t="s">
        <v>1788</v>
      </c>
      <c r="F49" s="203" t="s">
        <v>1789</v>
      </c>
      <c r="G49" s="203"/>
      <c r="H49" s="203" t="s">
        <v>1790</v>
      </c>
      <c r="I49" s="203" t="s">
        <v>1791</v>
      </c>
      <c r="J49" s="203" t="s">
        <v>1792</v>
      </c>
      <c r="K49" s="203" t="s">
        <v>1793</v>
      </c>
    </row>
    <row r="50" customFormat="false" ht="15" hidden="false" customHeight="false" outlineLevel="0" collapsed="false">
      <c r="A50" s="0" t="s">
        <v>1764</v>
      </c>
      <c r="B50" s="0" t="n">
        <f aca="false">COUNTIFS('BASE CONSOLIDADA'!$W$5:$W$129,1,'BASE CONSOLIDADA'!$P$5:$P$129,A50)</f>
        <v>46</v>
      </c>
      <c r="C50" s="0" t="n">
        <f aca="false">COUNTIFS('BASE CONSOLIDADA'!$W$5:$W$129,1,'BASE CONSOLIDADA'!$P$5:$P$129,A50,'BASE CONSOLIDADA'!$R$5:$R$129,"Em tratamento")</f>
        <v>1</v>
      </c>
      <c r="D50" s="0" t="n">
        <f aca="false">COUNTIFS('BASE CONSOLIDADA'!$W$5:$W$129,1,'BASE CONSOLIDADA'!$P$5:$P$129,A50,'BASE CONSOLIDADA'!$R$5:$R$129,"Ação imediata")+COUNTIFS('BASE CONSOLIDADA'!$W$5:$W$129,1,'BASE CONSOLIDADA'!$P$5:$P$129,A50,'BASE CONSOLIDADA'!$R$5:$R$129,"Validar cadastro")</f>
        <v>2</v>
      </c>
      <c r="E50" s="0" t="n">
        <f aca="false">COUNTIFS('BASE CONSOLIDADA'!$W$5:$W$129,1,'BASE CONSOLIDADA'!$P$5:$P$129,A50,'BASE CONSOLIDADA'!$R$5:$R$129,"Planejar revisão")</f>
        <v>3</v>
      </c>
      <c r="F50" s="0" t="n">
        <f aca="false">IF(B50=0,0,D50*1000000+C50*10000+E50*100+B50+20/1000)</f>
        <v>2010346.02</v>
      </c>
      <c r="H50" s="0" t="n">
        <v>1</v>
      </c>
      <c r="I50" s="0" t="n">
        <f aca="false">LARGE($F$50:$F$69,H50)</f>
        <v>2010346.02</v>
      </c>
      <c r="J50" s="0" t="n">
        <f aca="false">IF(I50&lt;=0,"",MATCH(I50,$F$50:$F$69,0))</f>
        <v>1</v>
      </c>
      <c r="K50" s="0" t="str">
        <f aca="false">IFERROR(LEFT(A50,FIND(" ",A50)-1)&amp;" "&amp;TRIM(RIGHT(SUBSTITUTE(A50," ",REPT(" ",60)),60)),A50)</f>
        <v>Ana Araujo</v>
      </c>
    </row>
    <row r="51" customFormat="false" ht="15" hidden="false" customHeight="false" outlineLevel="0" collapsed="false">
      <c r="A51" s="0" t="s">
        <v>603</v>
      </c>
      <c r="B51" s="0" t="n">
        <f aca="false">COUNTIFS('BASE CONSOLIDADA'!$W$5:$W$129,1,'BASE CONSOLIDADA'!$P$5:$P$129,A51)</f>
        <v>26</v>
      </c>
      <c r="C51" s="0" t="n">
        <f aca="false">COUNTIFS('BASE CONSOLIDADA'!$W$5:$W$129,1,'BASE CONSOLIDADA'!$P$5:$P$129,A51,'BASE CONSOLIDADA'!$R$5:$R$129,"Em tratamento")</f>
        <v>0</v>
      </c>
      <c r="D51" s="0" t="n">
        <f aca="false">COUNTIFS('BASE CONSOLIDADA'!$W$5:$W$129,1,'BASE CONSOLIDADA'!$P$5:$P$129,A51,'BASE CONSOLIDADA'!$R$5:$R$129,"Ação imediata")+COUNTIFS('BASE CONSOLIDADA'!$W$5:$W$129,1,'BASE CONSOLIDADA'!$P$5:$P$129,A51,'BASE CONSOLIDADA'!$R$5:$R$129,"Validar cadastro")</f>
        <v>0</v>
      </c>
      <c r="E51" s="0" t="n">
        <f aca="false">COUNTIFS('BASE CONSOLIDADA'!$W$5:$W$129,1,'BASE CONSOLIDADA'!$P$5:$P$129,A51,'BASE CONSOLIDADA'!$R$5:$R$129,"Planejar revisão")</f>
        <v>3</v>
      </c>
      <c r="F51" s="0" t="n">
        <f aca="false">IF(B51=0,0,D51*1000000+C51*10000+E51*100+B51+19/1000)</f>
        <v>326.019</v>
      </c>
      <c r="H51" s="0" t="n">
        <v>2</v>
      </c>
      <c r="I51" s="0" t="n">
        <f aca="false">LARGE($F$50:$F$69,H51)</f>
        <v>1000001.015</v>
      </c>
      <c r="J51" s="0" t="n">
        <f aca="false">IF(I51&lt;=0,"",MATCH(I51,$F$50:$F$69,0))</f>
        <v>6</v>
      </c>
      <c r="K51" s="0" t="str">
        <f aca="false">IFERROR(LEFT(A51,FIND(" ",A51)-1)&amp;" "&amp;TRIM(RIGHT(SUBSTITUTE(A51," ",REPT(" ",60)),60)),A51)</f>
        <v>Ana Oliveira</v>
      </c>
    </row>
    <row r="52" customFormat="false" ht="15" hidden="false" customHeight="false" outlineLevel="0" collapsed="false">
      <c r="A52" s="0" t="s">
        <v>1768</v>
      </c>
      <c r="B52" s="0" t="n">
        <f aca="false">COUNTIFS('BASE CONSOLIDADA'!$W$5:$W$129,1,'BASE CONSOLIDADA'!$P$5:$P$129,A52)</f>
        <v>1</v>
      </c>
      <c r="C52" s="0" t="n">
        <f aca="false">COUNTIFS('BASE CONSOLIDADA'!$W$5:$W$129,1,'BASE CONSOLIDADA'!$P$5:$P$129,A52,'BASE CONSOLIDADA'!$R$5:$R$129,"Em tratamento")</f>
        <v>1</v>
      </c>
      <c r="D52" s="0" t="n">
        <f aca="false">COUNTIFS('BASE CONSOLIDADA'!$W$5:$W$129,1,'BASE CONSOLIDADA'!$P$5:$P$129,A52,'BASE CONSOLIDADA'!$R$5:$R$129,"Ação imediata")+COUNTIFS('BASE CONSOLIDADA'!$W$5:$W$129,1,'BASE CONSOLIDADA'!$P$5:$P$129,A52,'BASE CONSOLIDADA'!$R$5:$R$129,"Validar cadastro")</f>
        <v>0</v>
      </c>
      <c r="E52" s="0" t="n">
        <f aca="false">COUNTIFS('BASE CONSOLIDADA'!$W$5:$W$129,1,'BASE CONSOLIDADA'!$P$5:$P$129,A52,'BASE CONSOLIDADA'!$R$5:$R$129,"Planejar revisão")</f>
        <v>0</v>
      </c>
      <c r="F52" s="0" t="n">
        <f aca="false">IF(B52=0,0,D52*1000000+C52*10000+E52*100+B52+18/1000)</f>
        <v>10001.018</v>
      </c>
      <c r="H52" s="0" t="n">
        <v>3</v>
      </c>
      <c r="I52" s="0" t="n">
        <f aca="false">LARGE($F$50:$F$69,H52)</f>
        <v>10002.007</v>
      </c>
      <c r="J52" s="0" t="n">
        <f aca="false">IF(I52&lt;=0,"",MATCH(I52,$F$50:$F$69,0))</f>
        <v>14</v>
      </c>
      <c r="K52" s="0" t="str">
        <f aca="false">IFERROR(LEFT(A52,FIND(" ",A52)-1)&amp;" "&amp;TRIM(RIGHT(SUBSTITUTE(A52," ",REPT(" ",60)),60)),A52)</f>
        <v>Bruna Goldschmidt</v>
      </c>
    </row>
    <row r="53" customFormat="false" ht="15" hidden="false" customHeight="false" outlineLevel="0" collapsed="false">
      <c r="A53" s="0" t="s">
        <v>427</v>
      </c>
      <c r="B53" s="0" t="n">
        <f aca="false">COUNTIFS('BASE CONSOLIDADA'!$W$5:$W$129,1,'BASE CONSOLIDADA'!$P$5:$P$129,A53)</f>
        <v>1</v>
      </c>
      <c r="C53" s="0" t="n">
        <f aca="false">COUNTIFS('BASE CONSOLIDADA'!$W$5:$W$129,1,'BASE CONSOLIDADA'!$P$5:$P$129,A53,'BASE CONSOLIDADA'!$R$5:$R$129,"Em tratamento")</f>
        <v>0</v>
      </c>
      <c r="D53" s="0" t="n">
        <f aca="false">COUNTIFS('BASE CONSOLIDADA'!$W$5:$W$129,1,'BASE CONSOLIDADA'!$P$5:$P$129,A53,'BASE CONSOLIDADA'!$R$5:$R$129,"Ação imediata")+COUNTIFS('BASE CONSOLIDADA'!$W$5:$W$129,1,'BASE CONSOLIDADA'!$P$5:$P$129,A53,'BASE CONSOLIDADA'!$R$5:$R$129,"Validar cadastro")</f>
        <v>0</v>
      </c>
      <c r="E53" s="0" t="n">
        <f aca="false">COUNTIFS('BASE CONSOLIDADA'!$W$5:$W$129,1,'BASE CONSOLIDADA'!$P$5:$P$129,A53,'BASE CONSOLIDADA'!$R$5:$R$129,"Planejar revisão")</f>
        <v>0</v>
      </c>
      <c r="F53" s="0" t="n">
        <f aca="false">IF(B53=0,0,D53*1000000+C53*10000+E53*100+B53+17/1000)</f>
        <v>1.017</v>
      </c>
      <c r="H53" s="0" t="n">
        <v>4</v>
      </c>
      <c r="I53" s="0" t="n">
        <f aca="false">LARGE($F$50:$F$69,H53)</f>
        <v>10001.018</v>
      </c>
      <c r="J53" s="0" t="n">
        <f aca="false">IF(I53&lt;=0,"",MATCH(I53,$F$50:$F$69,0))</f>
        <v>3</v>
      </c>
      <c r="K53" s="0" t="str">
        <f aca="false">IFERROR(LEFT(A53,FIND(" ",A53)-1)&amp;" "&amp;TRIM(RIGHT(SUBSTITUTE(A53," ",REPT(" ",60)),60)),A53)</f>
        <v>Camila Oliveira</v>
      </c>
    </row>
    <row r="54" customFormat="false" ht="15" hidden="false" customHeight="false" outlineLevel="0" collapsed="false">
      <c r="A54" s="0" t="s">
        <v>451</v>
      </c>
      <c r="B54" s="0" t="n">
        <f aca="false">COUNTIFS('BASE CONSOLIDADA'!$W$5:$W$129,1,'BASE CONSOLIDADA'!$P$5:$P$129,A54)</f>
        <v>1</v>
      </c>
      <c r="C54" s="0" t="n">
        <f aca="false">COUNTIFS('BASE CONSOLIDADA'!$W$5:$W$129,1,'BASE CONSOLIDADA'!$P$5:$P$129,A54,'BASE CONSOLIDADA'!$R$5:$R$129,"Em tratamento")</f>
        <v>0</v>
      </c>
      <c r="D54" s="0" t="n">
        <f aca="false">COUNTIFS('BASE CONSOLIDADA'!$W$5:$W$129,1,'BASE CONSOLIDADA'!$P$5:$P$129,A54,'BASE CONSOLIDADA'!$R$5:$R$129,"Ação imediata")+COUNTIFS('BASE CONSOLIDADA'!$W$5:$W$129,1,'BASE CONSOLIDADA'!$P$5:$P$129,A54,'BASE CONSOLIDADA'!$R$5:$R$129,"Validar cadastro")</f>
        <v>0</v>
      </c>
      <c r="E54" s="0" t="n">
        <f aca="false">COUNTIFS('BASE CONSOLIDADA'!$W$5:$W$129,1,'BASE CONSOLIDADA'!$P$5:$P$129,A54,'BASE CONSOLIDADA'!$R$5:$R$129,"Planejar revisão")</f>
        <v>0</v>
      </c>
      <c r="F54" s="0" t="n">
        <f aca="false">IF(B54=0,0,D54*1000000+C54*10000+E54*100+B54+16/1000)</f>
        <v>1.016</v>
      </c>
      <c r="H54" s="0" t="n">
        <v>5</v>
      </c>
      <c r="I54" s="0" t="n">
        <f aca="false">LARGE($F$50:$F$69,H54)</f>
        <v>326.019</v>
      </c>
      <c r="J54" s="0" t="n">
        <f aca="false">IF(I54&lt;=0,"",MATCH(I54,$F$50:$F$69,0))</f>
        <v>2</v>
      </c>
      <c r="K54" s="0" t="str">
        <f aca="false">IFERROR(LEFT(A54,FIND(" ",A54)-1)&amp;" "&amp;TRIM(RIGHT(SUBSTITUTE(A54," ",REPT(" ",60)),60)),A54)</f>
        <v>Cintia Vargas</v>
      </c>
    </row>
    <row r="55" customFormat="false" ht="15" hidden="false" customHeight="false" outlineLevel="0" collapsed="false">
      <c r="A55" s="0" t="s">
        <v>1772</v>
      </c>
      <c r="B55" s="0" t="n">
        <f aca="false">COUNTIFS('BASE CONSOLIDADA'!$W$5:$W$129,1,'BASE CONSOLIDADA'!$P$5:$P$129,A55)</f>
        <v>1</v>
      </c>
      <c r="C55" s="0" t="n">
        <f aca="false">COUNTIFS('BASE CONSOLIDADA'!$W$5:$W$129,1,'BASE CONSOLIDADA'!$P$5:$P$129,A55,'BASE CONSOLIDADA'!$R$5:$R$129,"Em tratamento")</f>
        <v>0</v>
      </c>
      <c r="D55" s="0" t="n">
        <f aca="false">COUNTIFS('BASE CONSOLIDADA'!$W$5:$W$129,1,'BASE CONSOLIDADA'!$P$5:$P$129,A55,'BASE CONSOLIDADA'!$R$5:$R$129,"Ação imediata")+COUNTIFS('BASE CONSOLIDADA'!$W$5:$W$129,1,'BASE CONSOLIDADA'!$P$5:$P$129,A55,'BASE CONSOLIDADA'!$R$5:$R$129,"Validar cadastro")</f>
        <v>1</v>
      </c>
      <c r="E55" s="0" t="n">
        <f aca="false">COUNTIFS('BASE CONSOLIDADA'!$W$5:$W$129,1,'BASE CONSOLIDADA'!$P$5:$P$129,A55,'BASE CONSOLIDADA'!$R$5:$R$129,"Planejar revisão")</f>
        <v>0</v>
      </c>
      <c r="F55" s="0" t="n">
        <f aca="false">IF(B55=0,0,D55*1000000+C55*10000+E55*100+B55+15/1000)</f>
        <v>1000001.015</v>
      </c>
      <c r="H55" s="0" t="n">
        <v>6</v>
      </c>
      <c r="I55" s="0" t="n">
        <f aca="false">LARGE($F$50:$F$69,H55)</f>
        <v>211.009</v>
      </c>
      <c r="J55" s="0" t="n">
        <f aca="false">IF(I55&lt;=0,"",MATCH(I55,$F$50:$F$69,0))</f>
        <v>12</v>
      </c>
      <c r="K55" s="0" t="str">
        <f aca="false">IFERROR(LEFT(A55,FIND(" ",A55)-1)&amp;" "&amp;TRIM(RIGHT(SUBSTITUTE(A55," ",REPT(" ",60)),60)),A55)</f>
        <v>Cleiton Pereira</v>
      </c>
    </row>
    <row r="56" customFormat="false" ht="15" hidden="false" customHeight="false" outlineLevel="0" collapsed="false">
      <c r="A56" s="0" t="s">
        <v>1773</v>
      </c>
      <c r="B56" s="0" t="n">
        <f aca="false">COUNTIFS('BASE CONSOLIDADA'!$W$5:$W$129,1,'BASE CONSOLIDADA'!$P$5:$P$129,A56)</f>
        <v>1</v>
      </c>
      <c r="C56" s="0" t="n">
        <f aca="false">COUNTIFS('BASE CONSOLIDADA'!$W$5:$W$129,1,'BASE CONSOLIDADA'!$P$5:$P$129,A56,'BASE CONSOLIDADA'!$R$5:$R$129,"Em tratamento")</f>
        <v>0</v>
      </c>
      <c r="D56" s="0" t="n">
        <f aca="false">COUNTIFS('BASE CONSOLIDADA'!$W$5:$W$129,1,'BASE CONSOLIDADA'!$P$5:$P$129,A56,'BASE CONSOLIDADA'!$R$5:$R$129,"Ação imediata")+COUNTIFS('BASE CONSOLIDADA'!$W$5:$W$129,1,'BASE CONSOLIDADA'!$P$5:$P$129,A56,'BASE CONSOLIDADA'!$R$5:$R$129,"Validar cadastro")</f>
        <v>0</v>
      </c>
      <c r="E56" s="0" t="n">
        <f aca="false">COUNTIFS('BASE CONSOLIDADA'!$W$5:$W$129,1,'BASE CONSOLIDADA'!$P$5:$P$129,A56,'BASE CONSOLIDADA'!$R$5:$R$129,"Planejar revisão")</f>
        <v>1</v>
      </c>
      <c r="F56" s="0" t="n">
        <f aca="false">IF(B56=0,0,D56*1000000+C56*10000+E56*100+B56+14/1000)</f>
        <v>101.014</v>
      </c>
      <c r="H56" s="0" t="n">
        <v>7</v>
      </c>
      <c r="I56" s="0" t="n">
        <f aca="false">LARGE($F$50:$F$69,H56)</f>
        <v>202.01</v>
      </c>
      <c r="J56" s="0" t="n">
        <f aca="false">IF(I56&lt;=0,"",MATCH(I56,$F$50:$F$69,0))</f>
        <v>11</v>
      </c>
      <c r="K56" s="0" t="str">
        <f aca="false">IFERROR(LEFT(A56,FIND(" ",A56)-1)&amp;" "&amp;TRIM(RIGHT(SUBSTITUTE(A56," ",REPT(" ",60)),60)),A56)</f>
        <v>Cristiano Correa</v>
      </c>
    </row>
    <row r="57" customFormat="false" ht="15" hidden="false" customHeight="false" outlineLevel="0" collapsed="false">
      <c r="A57" s="0" t="s">
        <v>391</v>
      </c>
      <c r="B57" s="0" t="n">
        <f aca="false">COUNTIFS('BASE CONSOLIDADA'!$W$5:$W$129,1,'BASE CONSOLIDADA'!$P$5:$P$129,A57)</f>
        <v>1</v>
      </c>
      <c r="C57" s="0" t="n">
        <f aca="false">COUNTIFS('BASE CONSOLIDADA'!$W$5:$W$129,1,'BASE CONSOLIDADA'!$P$5:$P$129,A57,'BASE CONSOLIDADA'!$R$5:$R$129,"Em tratamento")</f>
        <v>0</v>
      </c>
      <c r="D57" s="0" t="n">
        <f aca="false">COUNTIFS('BASE CONSOLIDADA'!$W$5:$W$129,1,'BASE CONSOLIDADA'!$P$5:$P$129,A57,'BASE CONSOLIDADA'!$R$5:$R$129,"Ação imediata")+COUNTIFS('BASE CONSOLIDADA'!$W$5:$W$129,1,'BASE CONSOLIDADA'!$P$5:$P$129,A57,'BASE CONSOLIDADA'!$R$5:$R$129,"Validar cadastro")</f>
        <v>0</v>
      </c>
      <c r="E57" s="0" t="n">
        <f aca="false">COUNTIFS('BASE CONSOLIDADA'!$W$5:$W$129,1,'BASE CONSOLIDADA'!$P$5:$P$129,A57,'BASE CONSOLIDADA'!$R$5:$R$129,"Planejar revisão")</f>
        <v>0</v>
      </c>
      <c r="F57" s="0" t="n">
        <f aca="false">IF(B57=0,0,D57*1000000+C57*10000+E57*100+B57+13/1000)</f>
        <v>1.013</v>
      </c>
      <c r="H57" s="0" t="n">
        <v>8</v>
      </c>
      <c r="I57" s="0" t="n">
        <f aca="false">LARGE($F$50:$F$69,H57)</f>
        <v>102.005</v>
      </c>
      <c r="J57" s="0" t="n">
        <f aca="false">IF(I57&lt;=0,"",MATCH(I57,$F$50:$F$69,0))</f>
        <v>16</v>
      </c>
      <c r="K57" s="0" t="str">
        <f aca="false">IFERROR(LEFT(A57,FIND(" ",A57)-1)&amp;" "&amp;TRIM(RIGHT(SUBSTITUTE(A57," ",REPT(" ",60)),60)),A57)</f>
        <v>Daniel Abreu</v>
      </c>
    </row>
    <row r="58" customFormat="false" ht="15" hidden="false" customHeight="false" outlineLevel="0" collapsed="false">
      <c r="A58" s="0" t="s">
        <v>543</v>
      </c>
      <c r="B58" s="0" t="n">
        <f aca="false">COUNTIFS('BASE CONSOLIDADA'!$W$5:$W$129,1,'BASE CONSOLIDADA'!$P$5:$P$129,A58)</f>
        <v>1</v>
      </c>
      <c r="C58" s="0" t="n">
        <f aca="false">COUNTIFS('BASE CONSOLIDADA'!$W$5:$W$129,1,'BASE CONSOLIDADA'!$P$5:$P$129,A58,'BASE CONSOLIDADA'!$R$5:$R$129,"Em tratamento")</f>
        <v>0</v>
      </c>
      <c r="D58" s="0" t="n">
        <f aca="false">COUNTIFS('BASE CONSOLIDADA'!$W$5:$W$129,1,'BASE CONSOLIDADA'!$P$5:$P$129,A58,'BASE CONSOLIDADA'!$R$5:$R$129,"Ação imediata")+COUNTIFS('BASE CONSOLIDADA'!$W$5:$W$129,1,'BASE CONSOLIDADA'!$P$5:$P$129,A58,'BASE CONSOLIDADA'!$R$5:$R$129,"Validar cadastro")</f>
        <v>0</v>
      </c>
      <c r="E58" s="0" t="n">
        <f aca="false">COUNTIFS('BASE CONSOLIDADA'!$W$5:$W$129,1,'BASE CONSOLIDADA'!$P$5:$P$129,A58,'BASE CONSOLIDADA'!$R$5:$R$129,"Planejar revisão")</f>
        <v>0</v>
      </c>
      <c r="F58" s="0" t="n">
        <f aca="false">IF(B58=0,0,D58*1000000+C58*10000+E58*100+B58+12/1000)</f>
        <v>1.012</v>
      </c>
      <c r="K58" s="0" t="str">
        <f aca="false">IFERROR(LEFT(A58,FIND(" ",A58)-1)&amp;" "&amp;TRIM(RIGHT(SUBSTITUTE(A58," ",REPT(" ",60)),60)),A58)</f>
        <v>Diego Jung</v>
      </c>
    </row>
    <row r="59" customFormat="false" ht="15" hidden="false" customHeight="false" outlineLevel="0" collapsed="false">
      <c r="A59" s="0" t="s">
        <v>1774</v>
      </c>
      <c r="B59" s="0" t="n">
        <f aca="false">COUNTIFS('BASE CONSOLIDADA'!$W$5:$W$129,1,'BASE CONSOLIDADA'!$P$5:$P$129,A59)</f>
        <v>1</v>
      </c>
      <c r="C59" s="0" t="n">
        <f aca="false">COUNTIFS('BASE CONSOLIDADA'!$W$5:$W$129,1,'BASE CONSOLIDADA'!$P$5:$P$129,A59,'BASE CONSOLIDADA'!$R$5:$R$129,"Em tratamento")</f>
        <v>0</v>
      </c>
      <c r="D59" s="0" t="n">
        <f aca="false">COUNTIFS('BASE CONSOLIDADA'!$W$5:$W$129,1,'BASE CONSOLIDADA'!$P$5:$P$129,A59,'BASE CONSOLIDADA'!$R$5:$R$129,"Ação imediata")+COUNTIFS('BASE CONSOLIDADA'!$W$5:$W$129,1,'BASE CONSOLIDADA'!$P$5:$P$129,A59,'BASE CONSOLIDADA'!$R$5:$R$129,"Validar cadastro")</f>
        <v>0</v>
      </c>
      <c r="E59" s="0" t="n">
        <f aca="false">COUNTIFS('BASE CONSOLIDADA'!$W$5:$W$129,1,'BASE CONSOLIDADA'!$P$5:$P$129,A59,'BASE CONSOLIDADA'!$R$5:$R$129,"Planejar revisão")</f>
        <v>0</v>
      </c>
      <c r="F59" s="0" t="n">
        <f aca="false">IF(B59=0,0,D59*1000000+C59*10000+E59*100+B59+11/1000)</f>
        <v>1.011</v>
      </c>
      <c r="K59" s="0" t="str">
        <f aca="false">IFERROR(LEFT(A59,FIND(" ",A59)-1)&amp;" "&amp;TRIM(RIGHT(SUBSTITUTE(A59," ",REPT(" ",60)),60)),A59)</f>
        <v>Eduardo Wagner</v>
      </c>
    </row>
    <row r="60" customFormat="false" ht="15" hidden="false" customHeight="false" outlineLevel="0" collapsed="false">
      <c r="A60" s="0" t="s">
        <v>1775</v>
      </c>
      <c r="B60" s="0" t="n">
        <f aca="false">COUNTIFS('BASE CONSOLIDADA'!$W$5:$W$129,1,'BASE CONSOLIDADA'!$P$5:$P$129,A60)</f>
        <v>2</v>
      </c>
      <c r="C60" s="0" t="n">
        <f aca="false">COUNTIFS('BASE CONSOLIDADA'!$W$5:$W$129,1,'BASE CONSOLIDADA'!$P$5:$P$129,A60,'BASE CONSOLIDADA'!$R$5:$R$129,"Em tratamento")</f>
        <v>0</v>
      </c>
      <c r="D60" s="0" t="n">
        <f aca="false">COUNTIFS('BASE CONSOLIDADA'!$W$5:$W$129,1,'BASE CONSOLIDADA'!$P$5:$P$129,A60,'BASE CONSOLIDADA'!$R$5:$R$129,"Ação imediata")+COUNTIFS('BASE CONSOLIDADA'!$W$5:$W$129,1,'BASE CONSOLIDADA'!$P$5:$P$129,A60,'BASE CONSOLIDADA'!$R$5:$R$129,"Validar cadastro")</f>
        <v>0</v>
      </c>
      <c r="E60" s="0" t="n">
        <f aca="false">COUNTIFS('BASE CONSOLIDADA'!$W$5:$W$129,1,'BASE CONSOLIDADA'!$P$5:$P$129,A60,'BASE CONSOLIDADA'!$R$5:$R$129,"Planejar revisão")</f>
        <v>2</v>
      </c>
      <c r="F60" s="0" t="n">
        <f aca="false">IF(B60=0,0,D60*1000000+C60*10000+E60*100+B60+10/1000)</f>
        <v>202.01</v>
      </c>
      <c r="K60" s="0" t="str">
        <f aca="false">IFERROR(LEFT(A60,FIND(" ",A60)-1)&amp;" "&amp;TRIM(RIGHT(SUBSTITUTE(A60," ",REPT(" ",60)),60)),A60)</f>
        <v>Elton Taborda</v>
      </c>
    </row>
    <row r="61" customFormat="false" ht="15" hidden="false" customHeight="false" outlineLevel="0" collapsed="false">
      <c r="A61" s="0" t="s">
        <v>1777</v>
      </c>
      <c r="B61" s="0" t="n">
        <f aca="false">COUNTIFS('BASE CONSOLIDADA'!$W$5:$W$129,1,'BASE CONSOLIDADA'!$P$5:$P$129,A61)</f>
        <v>11</v>
      </c>
      <c r="C61" s="0" t="n">
        <f aca="false">COUNTIFS('BASE CONSOLIDADA'!$W$5:$W$129,1,'BASE CONSOLIDADA'!$P$5:$P$129,A61,'BASE CONSOLIDADA'!$R$5:$R$129,"Em tratamento")</f>
        <v>0</v>
      </c>
      <c r="D61" s="0" t="n">
        <f aca="false">COUNTIFS('BASE CONSOLIDADA'!$W$5:$W$129,1,'BASE CONSOLIDADA'!$P$5:$P$129,A61,'BASE CONSOLIDADA'!$R$5:$R$129,"Ação imediata")+COUNTIFS('BASE CONSOLIDADA'!$W$5:$W$129,1,'BASE CONSOLIDADA'!$P$5:$P$129,A61,'BASE CONSOLIDADA'!$R$5:$R$129,"Validar cadastro")</f>
        <v>0</v>
      </c>
      <c r="E61" s="0" t="n">
        <f aca="false">COUNTIFS('BASE CONSOLIDADA'!$W$5:$W$129,1,'BASE CONSOLIDADA'!$P$5:$P$129,A61,'BASE CONSOLIDADA'!$R$5:$R$129,"Planejar revisão")</f>
        <v>2</v>
      </c>
      <c r="F61" s="0" t="n">
        <f aca="false">IF(B61=0,0,D61*1000000+C61*10000+E61*100+B61+9/1000)</f>
        <v>211.009</v>
      </c>
      <c r="K61" s="0" t="str">
        <f aca="false">IFERROR(LEFT(A61,FIND(" ",A61)-1)&amp;" "&amp;TRIM(RIGHT(SUBSTITUTE(A61," ",REPT(" ",60)),60)),A61)</f>
        <v>Fatima Guterres</v>
      </c>
    </row>
    <row r="62" customFormat="false" ht="15" hidden="false" customHeight="false" outlineLevel="0" collapsed="false">
      <c r="A62" s="0" t="s">
        <v>412</v>
      </c>
      <c r="B62" s="0" t="n">
        <f aca="false">COUNTIFS('BASE CONSOLIDADA'!$W$5:$W$129,1,'BASE CONSOLIDADA'!$P$5:$P$129,A62)</f>
        <v>1</v>
      </c>
      <c r="C62" s="0" t="n">
        <f aca="false">COUNTIFS('BASE CONSOLIDADA'!$W$5:$W$129,1,'BASE CONSOLIDADA'!$P$5:$P$129,A62,'BASE CONSOLIDADA'!$R$5:$R$129,"Em tratamento")</f>
        <v>0</v>
      </c>
      <c r="D62" s="0" t="n">
        <f aca="false">COUNTIFS('BASE CONSOLIDADA'!$W$5:$W$129,1,'BASE CONSOLIDADA'!$P$5:$P$129,A62,'BASE CONSOLIDADA'!$R$5:$R$129,"Ação imediata")+COUNTIFS('BASE CONSOLIDADA'!$W$5:$W$129,1,'BASE CONSOLIDADA'!$P$5:$P$129,A62,'BASE CONSOLIDADA'!$R$5:$R$129,"Validar cadastro")</f>
        <v>0</v>
      </c>
      <c r="E62" s="0" t="n">
        <f aca="false">COUNTIFS('BASE CONSOLIDADA'!$W$5:$W$129,1,'BASE CONSOLIDADA'!$P$5:$P$129,A62,'BASE CONSOLIDADA'!$R$5:$R$129,"Planejar revisão")</f>
        <v>0</v>
      </c>
      <c r="F62" s="0" t="n">
        <f aca="false">IF(B62=0,0,D62*1000000+C62*10000+E62*100+B62+8/1000)</f>
        <v>1.008</v>
      </c>
      <c r="K62" s="0" t="str">
        <f aca="false">IFERROR(LEFT(A62,FIND(" ",A62)-1)&amp;" "&amp;TRIM(RIGHT(SUBSTITUTE(A62," ",REPT(" ",60)),60)),A62)</f>
        <v>Gabrielle Pereira</v>
      </c>
    </row>
    <row r="63" customFormat="false" ht="15" hidden="false" customHeight="false" outlineLevel="0" collapsed="false">
      <c r="A63" s="0" t="s">
        <v>855</v>
      </c>
      <c r="B63" s="0" t="n">
        <f aca="false">COUNTIFS('BASE CONSOLIDADA'!$W$5:$W$129,1,'BASE CONSOLIDADA'!$P$5:$P$129,A63)</f>
        <v>2</v>
      </c>
      <c r="C63" s="0" t="n">
        <f aca="false">COUNTIFS('BASE CONSOLIDADA'!$W$5:$W$129,1,'BASE CONSOLIDADA'!$P$5:$P$129,A63,'BASE CONSOLIDADA'!$R$5:$R$129,"Em tratamento")</f>
        <v>1</v>
      </c>
      <c r="D63" s="0" t="n">
        <f aca="false">COUNTIFS('BASE CONSOLIDADA'!$W$5:$W$129,1,'BASE CONSOLIDADA'!$P$5:$P$129,A63,'BASE CONSOLIDADA'!$R$5:$R$129,"Ação imediata")+COUNTIFS('BASE CONSOLIDADA'!$W$5:$W$129,1,'BASE CONSOLIDADA'!$P$5:$P$129,A63,'BASE CONSOLIDADA'!$R$5:$R$129,"Validar cadastro")</f>
        <v>0</v>
      </c>
      <c r="E63" s="0" t="n">
        <f aca="false">COUNTIFS('BASE CONSOLIDADA'!$W$5:$W$129,1,'BASE CONSOLIDADA'!$P$5:$P$129,A63,'BASE CONSOLIDADA'!$R$5:$R$129,"Planejar revisão")</f>
        <v>0</v>
      </c>
      <c r="F63" s="0" t="n">
        <f aca="false">IF(B63=0,0,D63*1000000+C63*10000+E63*100+B63+7/1000)</f>
        <v>10002.007</v>
      </c>
      <c r="K63" s="0" t="str">
        <f aca="false">IFERROR(LEFT(A63,FIND(" ",A63)-1)&amp;" "&amp;TRIM(RIGHT(SUBSTITUTE(A63," ",REPT(" ",60)),60)),A63)</f>
        <v>Isabel Pinto</v>
      </c>
    </row>
    <row r="64" customFormat="false" ht="15" hidden="false" customHeight="false" outlineLevel="0" collapsed="false">
      <c r="A64" s="0" t="s">
        <v>573</v>
      </c>
      <c r="B64" s="0" t="n">
        <f aca="false">COUNTIFS('BASE CONSOLIDADA'!$W$5:$W$129,1,'BASE CONSOLIDADA'!$P$5:$P$129,A64)</f>
        <v>1</v>
      </c>
      <c r="C64" s="0" t="n">
        <f aca="false">COUNTIFS('BASE CONSOLIDADA'!$W$5:$W$129,1,'BASE CONSOLIDADA'!$P$5:$P$129,A64,'BASE CONSOLIDADA'!$R$5:$R$129,"Em tratamento")</f>
        <v>0</v>
      </c>
      <c r="D64" s="0" t="n">
        <f aca="false">COUNTIFS('BASE CONSOLIDADA'!$W$5:$W$129,1,'BASE CONSOLIDADA'!$P$5:$P$129,A64,'BASE CONSOLIDADA'!$R$5:$R$129,"Ação imediata")+COUNTIFS('BASE CONSOLIDADA'!$W$5:$W$129,1,'BASE CONSOLIDADA'!$P$5:$P$129,A64,'BASE CONSOLIDADA'!$R$5:$R$129,"Validar cadastro")</f>
        <v>0</v>
      </c>
      <c r="E64" s="0" t="n">
        <f aca="false">COUNTIFS('BASE CONSOLIDADA'!$W$5:$W$129,1,'BASE CONSOLIDADA'!$P$5:$P$129,A64,'BASE CONSOLIDADA'!$R$5:$R$129,"Planejar revisão")</f>
        <v>0</v>
      </c>
      <c r="F64" s="0" t="n">
        <f aca="false">IF(B64=0,0,D64*1000000+C64*10000+E64*100+B64+6/1000)</f>
        <v>1.006</v>
      </c>
      <c r="K64" s="0" t="str">
        <f aca="false">IFERROR(LEFT(A64,FIND(" ",A64)-1)&amp;" "&amp;TRIM(RIGHT(SUBSTITUTE(A64," ",REPT(" ",60)),60)),A64)</f>
        <v>Janaina Oliveira</v>
      </c>
    </row>
    <row r="65" customFormat="false" ht="15" hidden="false" customHeight="false" outlineLevel="0" collapsed="false">
      <c r="A65" s="0" t="s">
        <v>1794</v>
      </c>
      <c r="B65" s="0" t="n">
        <f aca="false">COUNTIFS('BASE CONSOLIDADA'!$W$5:$W$129,1,'BASE CONSOLIDADA'!$P$5:$P$129,A65)</f>
        <v>2</v>
      </c>
      <c r="C65" s="0" t="n">
        <f aca="false">COUNTIFS('BASE CONSOLIDADA'!$W$5:$W$129,1,'BASE CONSOLIDADA'!$P$5:$P$129,A65,'BASE CONSOLIDADA'!$R$5:$R$129,"Em tratamento")</f>
        <v>0</v>
      </c>
      <c r="D65" s="0" t="n">
        <f aca="false">COUNTIFS('BASE CONSOLIDADA'!$W$5:$W$129,1,'BASE CONSOLIDADA'!$P$5:$P$129,A65,'BASE CONSOLIDADA'!$R$5:$R$129,"Ação imediata")+COUNTIFS('BASE CONSOLIDADA'!$W$5:$W$129,1,'BASE CONSOLIDADA'!$P$5:$P$129,A65,'BASE CONSOLIDADA'!$R$5:$R$129,"Validar cadastro")</f>
        <v>0</v>
      </c>
      <c r="E65" s="0" t="n">
        <f aca="false">COUNTIFS('BASE CONSOLIDADA'!$W$5:$W$129,1,'BASE CONSOLIDADA'!$P$5:$P$129,A65,'BASE CONSOLIDADA'!$R$5:$R$129,"Planejar revisão")</f>
        <v>1</v>
      </c>
      <c r="F65" s="0" t="n">
        <f aca="false">IF(B65=0,0,D65*1000000+C65*10000+E65*100+B65+5/1000)</f>
        <v>102.005</v>
      </c>
      <c r="K65" s="0" t="str">
        <f aca="false">IFERROR(LEFT(A65,FIND(" ",A65)-1)&amp;" "&amp;TRIM(RIGHT(SUBSTITUTE(A65," ",REPT(" ",60)),60)),A65)</f>
        <v>Lais Nascimento</v>
      </c>
    </row>
    <row r="66" customFormat="false" ht="15" hidden="false" customHeight="false" outlineLevel="0" collapsed="false">
      <c r="A66" s="0" t="s">
        <v>1795</v>
      </c>
      <c r="B66" s="0" t="n">
        <f aca="false">COUNTIFS('BASE CONSOLIDADA'!$W$5:$W$129,1,'BASE CONSOLIDADA'!$P$5:$P$129,A66)</f>
        <v>22</v>
      </c>
      <c r="C66" s="0" t="n">
        <f aca="false">COUNTIFS('BASE CONSOLIDADA'!$W$5:$W$129,1,'BASE CONSOLIDADA'!$P$5:$P$129,A66,'BASE CONSOLIDADA'!$R$5:$R$129,"Em tratamento")</f>
        <v>0</v>
      </c>
      <c r="D66" s="0" t="n">
        <f aca="false">COUNTIFS('BASE CONSOLIDADA'!$W$5:$W$129,1,'BASE CONSOLIDADA'!$P$5:$P$129,A66,'BASE CONSOLIDADA'!$R$5:$R$129,"Ação imediata")+COUNTIFS('BASE CONSOLIDADA'!$W$5:$W$129,1,'BASE CONSOLIDADA'!$P$5:$P$129,A66,'BASE CONSOLIDADA'!$R$5:$R$129,"Validar cadastro")</f>
        <v>0</v>
      </c>
      <c r="E66" s="0" t="n">
        <f aca="false">COUNTIFS('BASE CONSOLIDADA'!$W$5:$W$129,1,'BASE CONSOLIDADA'!$P$5:$P$129,A66,'BASE CONSOLIDADA'!$R$5:$R$129,"Planejar revisão")</f>
        <v>0</v>
      </c>
      <c r="F66" s="0" t="n">
        <f aca="false">IF(B66=0,0,D66*1000000+C66*10000+E66*100+B66+4/1000)</f>
        <v>22.004</v>
      </c>
      <c r="K66" s="0" t="str">
        <f aca="false">IFERROR(LEFT(A66,FIND(" ",A66)-1)&amp;" "&amp;TRIM(RIGHT(SUBSTITUTE(A66," ",REPT(" ",60)),60)),A66)</f>
        <v>Larissa Guedes</v>
      </c>
    </row>
    <row r="67" customFormat="false" ht="15" hidden="false" customHeight="false" outlineLevel="0" collapsed="false">
      <c r="A67" s="0" t="s">
        <v>568</v>
      </c>
      <c r="B67" s="0" t="n">
        <f aca="false">COUNTIFS('BASE CONSOLIDADA'!$W$5:$W$129,1,'BASE CONSOLIDADA'!$P$5:$P$129,A67)</f>
        <v>1</v>
      </c>
      <c r="C67" s="0" t="n">
        <f aca="false">COUNTIFS('BASE CONSOLIDADA'!$W$5:$W$129,1,'BASE CONSOLIDADA'!$P$5:$P$129,A67,'BASE CONSOLIDADA'!$R$5:$R$129,"Em tratamento")</f>
        <v>0</v>
      </c>
      <c r="D67" s="0" t="n">
        <f aca="false">COUNTIFS('BASE CONSOLIDADA'!$W$5:$W$129,1,'BASE CONSOLIDADA'!$P$5:$P$129,A67,'BASE CONSOLIDADA'!$R$5:$R$129,"Ação imediata")+COUNTIFS('BASE CONSOLIDADA'!$W$5:$W$129,1,'BASE CONSOLIDADA'!$P$5:$P$129,A67,'BASE CONSOLIDADA'!$R$5:$R$129,"Validar cadastro")</f>
        <v>0</v>
      </c>
      <c r="E67" s="0" t="n">
        <f aca="false">COUNTIFS('BASE CONSOLIDADA'!$W$5:$W$129,1,'BASE CONSOLIDADA'!$P$5:$P$129,A67,'BASE CONSOLIDADA'!$R$5:$R$129,"Planejar revisão")</f>
        <v>0</v>
      </c>
      <c r="F67" s="0" t="n">
        <f aca="false">IF(B67=0,0,D67*1000000+C67*10000+E67*100+B67+3/1000)</f>
        <v>1.003</v>
      </c>
      <c r="K67" s="0" t="str">
        <f aca="false">IFERROR(LEFT(A67,FIND(" ",A67)-1)&amp;" "&amp;TRIM(RIGHT(SUBSTITUTE(A67," ",REPT(" ",60)),60)),A67)</f>
        <v>Regina Nonemacher</v>
      </c>
    </row>
    <row r="68" customFormat="false" ht="15" hidden="false" customHeight="false" outlineLevel="0" collapsed="false">
      <c r="A68" s="0" t="s">
        <v>379</v>
      </c>
      <c r="B68" s="0" t="n">
        <f aca="false">COUNTIFS('BASE CONSOLIDADA'!$W$5:$W$129,1,'BASE CONSOLIDADA'!$P$5:$P$129,A68)</f>
        <v>1</v>
      </c>
      <c r="C68" s="0" t="n">
        <f aca="false">COUNTIFS('BASE CONSOLIDADA'!$W$5:$W$129,1,'BASE CONSOLIDADA'!$P$5:$P$129,A68,'BASE CONSOLIDADA'!$R$5:$R$129,"Em tratamento")</f>
        <v>0</v>
      </c>
      <c r="D68" s="0" t="n">
        <f aca="false">COUNTIFS('BASE CONSOLIDADA'!$W$5:$W$129,1,'BASE CONSOLIDADA'!$P$5:$P$129,A68,'BASE CONSOLIDADA'!$R$5:$R$129,"Ação imediata")+COUNTIFS('BASE CONSOLIDADA'!$W$5:$W$129,1,'BASE CONSOLIDADA'!$P$5:$P$129,A68,'BASE CONSOLIDADA'!$R$5:$R$129,"Validar cadastro")</f>
        <v>0</v>
      </c>
      <c r="E68" s="0" t="n">
        <f aca="false">COUNTIFS('BASE CONSOLIDADA'!$W$5:$W$129,1,'BASE CONSOLIDADA'!$P$5:$P$129,A68,'BASE CONSOLIDADA'!$R$5:$R$129,"Planejar revisão")</f>
        <v>0</v>
      </c>
      <c r="F68" s="0" t="n">
        <f aca="false">IF(B68=0,0,D68*1000000+C68*10000+E68*100+B68+2/1000)</f>
        <v>1.002</v>
      </c>
      <c r="K68" s="0" t="str">
        <f aca="false">IFERROR(LEFT(A68,FIND(" ",A68)-1)&amp;" "&amp;TRIM(RIGHT(SUBSTITUTE(A68," ",REPT(" ",60)),60)),A68)</f>
        <v>Tainara Starssbuger</v>
      </c>
    </row>
    <row r="69" customFormat="false" ht="15" hidden="false" customHeight="false" outlineLevel="0" collapsed="false">
      <c r="A69" s="0" t="s">
        <v>1796</v>
      </c>
      <c r="B69" s="0" t="n">
        <f aca="false">COUNTIFS('BASE CONSOLIDADA'!$W$5:$W$129,1,'BASE CONSOLIDADA'!$P$5:$P$129,A69)</f>
        <v>2</v>
      </c>
      <c r="C69" s="0" t="n">
        <f aca="false">COUNTIFS('BASE CONSOLIDADA'!$W$5:$W$129,1,'BASE CONSOLIDADA'!$P$5:$P$129,A69,'BASE CONSOLIDADA'!$R$5:$R$129,"Em tratamento")</f>
        <v>0</v>
      </c>
      <c r="D69" s="0" t="n">
        <f aca="false">COUNTIFS('BASE CONSOLIDADA'!$W$5:$W$129,1,'BASE CONSOLIDADA'!$P$5:$P$129,A69,'BASE CONSOLIDADA'!$R$5:$R$129,"Ação imediata")+COUNTIFS('BASE CONSOLIDADA'!$W$5:$W$129,1,'BASE CONSOLIDADA'!$P$5:$P$129,A69,'BASE CONSOLIDADA'!$R$5:$R$129,"Validar cadastro")</f>
        <v>0</v>
      </c>
      <c r="E69" s="0" t="n">
        <f aca="false">COUNTIFS('BASE CONSOLIDADA'!$W$5:$W$129,1,'BASE CONSOLIDADA'!$P$5:$P$129,A69,'BASE CONSOLIDADA'!$R$5:$R$129,"Planejar revisão")</f>
        <v>0</v>
      </c>
      <c r="F69" s="0" t="n">
        <f aca="false">IF(B69=0,0,D69*1000000+C69*10000+E69*100+B69+1/1000)</f>
        <v>2.001</v>
      </c>
      <c r="K69" s="0" t="str">
        <f aca="false">IFERROR(LEFT(A69,FIND(" ",A69)-1)&amp;" "&amp;TRIM(RIGHT(SUBSTITUTE(A69," ",REPT(" ",60)),60)),A69)</f>
        <v>Thais Nyland</v>
      </c>
    </row>
    <row r="73" customFormat="false" ht="15" hidden="false" customHeight="false" outlineLevel="0" collapsed="false">
      <c r="A73" s="204" t="s">
        <v>1797</v>
      </c>
    </row>
    <row r="74" customFormat="false" ht="15" hidden="false" customHeight="false" outlineLevel="0" collapsed="false">
      <c r="A74" s="203" t="s">
        <v>1790</v>
      </c>
      <c r="B74" s="203" t="s">
        <v>1791</v>
      </c>
      <c r="C74" s="203" t="s">
        <v>1798</v>
      </c>
    </row>
    <row r="75" customFormat="false" ht="15" hidden="false" customHeight="false" outlineLevel="0" collapsed="false">
      <c r="A75" s="0" t="n">
        <v>1</v>
      </c>
      <c r="B75" s="0" t="n">
        <f aca="false">LARGE('BASE CONSOLIDADA'!$X$5:$X$129,A75)</f>
        <v>650023.123</v>
      </c>
      <c r="C75" s="0" t="n">
        <f aca="false">IF(B75&lt;=0,"",MATCH(B75,'BASE CONSOLIDADA'!$X$5:$X$129,0))</f>
        <v>119</v>
      </c>
    </row>
    <row r="76" customFormat="false" ht="15" hidden="false" customHeight="false" outlineLevel="0" collapsed="false">
      <c r="A76" s="0" t="n">
        <v>2</v>
      </c>
      <c r="B76" s="0" t="n">
        <f aca="false">LARGE('BASE CONSOLIDADA'!$X$5:$X$129,A76)</f>
        <v>550595.023</v>
      </c>
      <c r="C76" s="0" t="n">
        <f aca="false">IF(B76&lt;=0,"",MATCH(B76,'BASE CONSOLIDADA'!$X$5:$X$129,0))</f>
        <v>19</v>
      </c>
    </row>
    <row r="77" customFormat="false" ht="15" hidden="false" customHeight="false" outlineLevel="0" collapsed="false">
      <c r="A77" s="0" t="n">
        <v>3</v>
      </c>
      <c r="B77" s="0" t="n">
        <f aca="false">LARGE('BASE CONSOLIDADA'!$X$5:$X$129,A77)</f>
        <v>449795.047</v>
      </c>
      <c r="C77" s="0" t="n">
        <f aca="false">IF(B77&lt;=0,"",MATCH(B77,'BASE CONSOLIDADA'!$X$5:$X$129,0))</f>
        <v>43</v>
      </c>
    </row>
    <row r="78" customFormat="false" ht="15" hidden="false" customHeight="false" outlineLevel="0" collapsed="false">
      <c r="A78" s="0" t="n">
        <v>4</v>
      </c>
      <c r="B78" s="0" t="n">
        <f aca="false">LARGE('BASE CONSOLIDADA'!$X$5:$X$129,A78)</f>
        <v>449681.088</v>
      </c>
      <c r="C78" s="0" t="n">
        <f aca="false">IF(B78&lt;=0,"",MATCH(B78,'BASE CONSOLIDADA'!$X$5:$X$129,0))</f>
        <v>84</v>
      </c>
    </row>
    <row r="79" customFormat="false" ht="15" hidden="false" customHeight="false" outlineLevel="0" collapsed="false">
      <c r="A79" s="0" t="n">
        <v>5</v>
      </c>
      <c r="B79" s="0" t="n">
        <f aca="false">LARGE('BASE CONSOLIDADA'!$X$5:$X$129,A79)</f>
        <v>350000.018</v>
      </c>
      <c r="C79" s="0" t="n">
        <f aca="false">IF(B79&lt;=0,"",MATCH(B79,'BASE CONSOLIDADA'!$X$5:$X$129,0))</f>
        <v>14</v>
      </c>
    </row>
    <row r="80" customFormat="false" ht="15" hidden="false" customHeight="false" outlineLevel="0" collapsed="false">
      <c r="A80" s="0" t="n">
        <v>6</v>
      </c>
      <c r="B80" s="0" t="n">
        <f aca="false">LARGE('BASE CONSOLIDADA'!$X$5:$X$129,A80)</f>
        <v>148363.095</v>
      </c>
      <c r="C80" s="0" t="n">
        <f aca="false">IF(B80&lt;=0,"",MATCH(B80,'BASE CONSOLIDADA'!$X$5:$X$129,0))</f>
        <v>91</v>
      </c>
    </row>
    <row r="81" customFormat="false" ht="15" hidden="false" customHeight="false" outlineLevel="0" collapsed="false">
      <c r="A81" s="0" t="n">
        <v>7</v>
      </c>
      <c r="B81" s="0" t="n">
        <f aca="false">LARGE('BASE CONSOLIDADA'!$X$5:$X$129,A81)</f>
        <v>0</v>
      </c>
      <c r="C81" s="0" t="str">
        <f aca="false">IF(B81&lt;=0,"",MATCH(B81,'BASE CONSOLIDADA'!$X$5:$X$129,0))</f>
        <v/>
      </c>
    </row>
    <row r="82" customFormat="false" ht="15" hidden="false" customHeight="false" outlineLevel="0" collapsed="false">
      <c r="A82" s="0" t="n">
        <v>8</v>
      </c>
      <c r="B82" s="0" t="n">
        <f aca="false">LARGE('BASE CONSOLIDADA'!$X$5:$X$129,A82)</f>
        <v>0</v>
      </c>
      <c r="C82" s="0" t="str">
        <f aca="false">IF(B82&lt;=0,"",MATCH(B82,'BASE CONSOLIDADA'!$X$5:$X$129,0))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2026-10-06T21:27:40Z</dcterms:created>
  <dc:creator>openpyxl</dc:creator>
  <dc:description/>
  <dc:language>en-US</dc:language>
  <cp:lastModifiedBy/>
  <dcterms:modified xsi:type="dcterms:W3CDTF">2026-10-06T21:27:44Z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d4a03c1-3a9a-4c6c-ad56-2da790c11b21_ActionId">
    <vt:lpwstr>e1de5da7-a85c-4bd5-925d-28396fbd0f13</vt:lpwstr>
  </property>
  <property fmtid="{D5CDD505-2E9C-101B-9397-08002B2CF9AE}" pid="3" name="MSIP_Label_cd4a03c1-3a9a-4c6c-ad56-2da790c11b21_ContentBits">
    <vt:lpwstr>0</vt:lpwstr>
  </property>
  <property fmtid="{D5CDD505-2E9C-101B-9397-08002B2CF9AE}" pid="4" name="MSIP_Label_cd4a03c1-3a9a-4c6c-ad56-2da790c11b21_Enabled">
    <vt:lpwstr>true</vt:lpwstr>
  </property>
  <property fmtid="{D5CDD505-2E9C-101B-9397-08002B2CF9AE}" pid="5" name="MSIP_Label_cd4a03c1-3a9a-4c6c-ad56-2da790c11b21_Method">
    <vt:lpwstr>Privileged</vt:lpwstr>
  </property>
  <property fmtid="{D5CDD505-2E9C-101B-9397-08002B2CF9AE}" pid="6" name="MSIP_Label_cd4a03c1-3a9a-4c6c-ad56-2da790c11b21_Name">
    <vt:lpwstr>Internal Use.</vt:lpwstr>
  </property>
  <property fmtid="{D5CDD505-2E9C-101B-9397-08002B2CF9AE}" pid="7" name="MSIP_Label_cd4a03c1-3a9a-4c6c-ad56-2da790c11b21_SetDate">
    <vt:lpwstr>2026-10-06T20:58:47Z</vt:lpwstr>
  </property>
  <property fmtid="{D5CDD505-2E9C-101B-9397-08002B2CF9AE}" pid="8" name="MSIP_Label_cd4a03c1-3a9a-4c6c-ad56-2da790c11b21_SiteId">
    <vt:lpwstr>592b5396-bf52-4b35-a844-d5ab522c3666</vt:lpwstr>
  </property>
  <property fmtid="{D5CDD505-2E9C-101B-9397-08002B2CF9AE}" pid="9" name="MSIP_Label_cd4a03c1-3a9a-4c6c-ad56-2da790c11b21_Tag">
    <vt:lpwstr>10, 0, 1, 1</vt:lpwstr>
  </property>
</Properties>
</file>